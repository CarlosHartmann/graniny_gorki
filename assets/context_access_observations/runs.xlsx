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uni/Documents/GitHub/graniny_gorki/assets/context_access_observations/"/>
    </mc:Choice>
  </mc:AlternateContent>
  <xr:revisionPtr revIDLastSave="0" documentId="13_ncr:1_{21BD049B-ACE3-0141-8BA4-3171E6C7B415}" xr6:coauthVersionLast="47" xr6:coauthVersionMax="47" xr10:uidLastSave="{00000000-0000-0000-0000-000000000000}"/>
  <bookViews>
    <workbookView xWindow="320" yWindow="680" windowWidth="24940" windowHeight="14380" xr2:uid="{29678077-7612-6441-9043-8D024AADFFD3}"/>
  </bookViews>
  <sheets>
    <sheet name="conservative_prompt" sheetId="5" r:id="rId1"/>
    <sheet name="unspecified_prompt" sheetId="6" r:id="rId2"/>
  </sheets>
  <definedNames>
    <definedName name="ExterneDaten_1" localSheetId="0" hidden="1">conservative_prompt!$A$1:$T$175</definedName>
    <definedName name="ExterneDaten_1" localSheetId="1" hidden="1">unspecified_prompt!$A$1:$T$175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6" l="1"/>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168" i="6"/>
  <c r="S169" i="6"/>
  <c r="S170" i="6"/>
  <c r="S171" i="6"/>
  <c r="S172" i="6"/>
  <c r="S173" i="6"/>
  <c r="S174" i="6"/>
  <c r="S175" i="6"/>
  <c r="S2" i="6"/>
  <c r="M2"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R184" i="5"/>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2" i="5"/>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C9507D-B6D2-2D47-966B-9804D6DBF363}" keepAlive="1" name="Abfrage - results_context-via-permalink_gpt-5-2025-08-07_run1_with-justification_top28" description="Verbindung mit der Abfrage 'results_context-via-permalink_gpt-5-2025-08-07_run1_with-justification_top28' in der Arbeitsmappe." type="5" refreshedVersion="8" background="1" saveData="1">
    <dbPr connection="Provider=Microsoft.Mashup.OleDb.1;Data Source=$Workbook$;Location=results_context-via-permalink_gpt-5-2025-08-07_run1_with-justification_top28;Extended Properties=&quot;&quot;" command="SELECT * FROM [results_context-via-permalink_gpt-5-2025-08-07_run1_with-justification_top28]"/>
  </connection>
  <connection id="2" xr16:uid="{F98CF878-0680-E04E-BF4C-42E52B59A42C}" keepAlive="1" name="Abfrage - results_context-via-permalink_gpt-5-2025-08-07_run1_with-justification_top28 (2)" description="Verbindung mit der Abfrage 'results_context-via-permalink_gpt-5-2025-08-07_run1_with-justification_top28 (2)' in der Arbeitsmappe." type="5" refreshedVersion="0" background="1">
    <dbPr connection="Provider=Microsoft.Mashup.OleDb.1;Data Source=$Workbook$;Location=&quot;results_context-via-permalink_gpt-5-2025-08-07_run1_with-justification_top28 (2)&quot;;Extended Properties=&quot;&quot;" command="SELECT * FROM [results_context-via-permalink_gpt-5-2025-08-07_run1_with-justification_top28 (2)]"/>
  </connection>
  <connection id="3" xr16:uid="{CB3715AE-8B6F-BF47-9097-3DB6D7F225A1}" keepAlive="1" name="Abfrage - results_context-via-permalink_gpt-5-2025-08-07_run1_with-justification_top28 (3)" description="Verbindung mit der Abfrage 'results_context-via-permalink_gpt-5-2025-08-07_run1_with-justification_top28 (3)' in der Arbeitsmappe." type="5" refreshedVersion="0" background="1">
    <dbPr connection="Provider=Microsoft.Mashup.OleDb.1;Data Source=$Workbook$;Location=&quot;results_context-via-permalink_gpt-5-2025-08-07_run1_with-justification_top28 (3)&quot;;Extended Properties=&quot;&quot;" command="SELECT * FROM [results_context-via-permalink_gpt-5-2025-08-07_run1_with-justification_top28 (3)]"/>
  </connection>
  <connection id="4" xr16:uid="{C8A20AA1-9003-2D45-8228-3933DE0D84E1}" keepAlive="1" name="Abfrage - results_context-via-permalink_gpt-5-2025-08-07_with-justification_run1" description="Verbindung mit der Abfrage 'results_context-via-permalink_gpt-5-2025-08-07_with-justification_run1' in der Arbeitsmappe." type="5" refreshedVersion="8" background="1" saveData="1">
    <dbPr connection="Provider=Microsoft.Mashup.OleDb.1;Data Source=$Workbook$;Location=results_context-via-permalink_gpt-5-2025-08-07_with-justification_run1;Extended Properties=&quot;&quot;" command="SELECT * FROM [results_context-via-permalink_gpt-5-2025-08-07_with-justification_run1]"/>
  </connection>
  <connection id="5" xr16:uid="{7F2438C0-43E9-464D-9947-A3422AD8DF1A}" keepAlive="1" name="Abfrage - results_context-via-permalink_gpt-5-2025-08-07_with-justification_run1 (2)" description="Verbindung mit der Abfrage 'results_context-via-permalink_gpt-5-2025-08-07_with-justification_run1 (2)' in der Arbeitsmappe." type="5" refreshedVersion="8" background="1" saveData="1">
    <dbPr connection="Provider=Microsoft.Mashup.OleDb.1;Data Source=$Workbook$;Location=&quot;results_context-via-permalink_gpt-5-2025-08-07_with-justification_run1 (2)&quot;;Extended Properties=&quot;&quot;" command="SELECT * FROM [results_context-via-permalink_gpt-5-2025-08-07_with-justification_run1 (2)]"/>
  </connection>
</connections>
</file>

<file path=xl/sharedStrings.xml><?xml version="1.0" encoding="utf-8"?>
<sst xmlns="http://schemas.openxmlformats.org/spreadsheetml/2006/main" count="5956" uniqueCount="1382">
  <si>
    <t>ID</t>
  </si>
  <si>
    <t>span</t>
  </si>
  <si>
    <t>comment_body</t>
  </si>
  <si>
    <t>permalink</t>
  </si>
  <si>
    <t>subreddit</t>
  </si>
  <si>
    <t>username</t>
  </si>
  <si>
    <t>user_flair</t>
  </si>
  <si>
    <t>created_utc</t>
  </si>
  <si>
    <t>they_form</t>
  </si>
  <si>
    <t>annotated</t>
  </si>
  <si>
    <t>they_type</t>
  </si>
  <si>
    <t>context_dependent</t>
  </si>
  <si>
    <t>comment</t>
  </si>
  <si>
    <t>special_interest</t>
  </si>
  <si>
    <t>referent_outside</t>
  </si>
  <si>
    <t>LLM_response</t>
  </si>
  <si>
    <t>LLM_annotation</t>
  </si>
  <si>
    <t>correct?</t>
  </si>
  <si>
    <t>qualitative_assessment</t>
  </si>
  <si>
    <t>LoRes_1020</t>
  </si>
  <si>
    <t>[145, 150]</t>
  </si>
  <si>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</si>
  <si>
    <t>https://www.reddit.com/r/melbourne/comments/xys7r9/its_the_rmelbourne_daily_discussion_thread_sunday/irkm899/</t>
  </si>
  <si>
    <t>melbourne</t>
  </si>
  <si>
    <t>kidwithgreyhair</t>
  </si>
  <si>
    <t/>
  </si>
  <si>
    <t xml:space="preserve"> their</t>
  </si>
  <si>
    <t>X</t>
  </si>
  <si>
    <t>singular_they</t>
  </si>
  <si>
    <t>LoRes_10225</t>
  </si>
  <si>
    <t>[34, 38]</t>
  </si>
  <si>
    <t>&amp;gt;If some politian decided that they needed to "make an example of him" and "sending a message", then that's just wrong.
There is certainly an element of that going on, although I doubt a politician has explicitly told the courts what to do.</t>
  </si>
  <si>
    <t>https://www.reddit.com/r/unitedkingdom/comments/ovtj3/comment/c3kgwqu</t>
  </si>
  <si>
    <t>unitedkingdom</t>
  </si>
  <si>
    <t>[deleted]</t>
  </si>
  <si>
    <t>they</t>
  </si>
  <si>
    <t>generic_they</t>
  </si>
  <si>
    <t>LoRes_1023</t>
  </si>
  <si>
    <t>[138, 142]</t>
  </si>
  <si>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</si>
  <si>
    <t>https://www.reddit.com/r/melbourne/comments/xyjm1z/cycling_and_cars_turning_left_l/irksydx/</t>
  </si>
  <si>
    <t>Alchematic</t>
  </si>
  <si>
    <t xml:space="preserve"> they</t>
  </si>
  <si>
    <t>LoRes_11601</t>
  </si>
  <si>
    <t>[63, 68]</t>
  </si>
  <si>
    <t xml:space="preserve">saves some poor parent trying to explain what the word is when their 8 year old is trying to read it.
</t>
  </si>
  <si>
    <t>https://www.reddit.com/r/australia/comments/p0a81/comment/c3lhw92</t>
  </si>
  <si>
    <t>australia</t>
  </si>
  <si>
    <t>chronicvape</t>
  </si>
  <si>
    <t>their</t>
  </si>
  <si>
    <t>LoRes_1161</t>
  </si>
  <si>
    <t>[94, 98]</t>
  </si>
  <si>
    <t>Anyone encounter someone who went asleep on the train but they snore like a tractor? Maybe if they lost a wee bit of chub it could help with the snoring.</t>
  </si>
  <si>
    <t>https://www.reddit.com/r/AskUK/comments/xzjpfo/what_are_the_biggest_tubetrain_faux_pas/irpbvsc/</t>
  </si>
  <si>
    <t>AskUK</t>
  </si>
  <si>
    <t>DazzlingPimp</t>
  </si>
  <si>
    <t>LoRes_11838</t>
  </si>
  <si>
    <t>[159, 164]</t>
  </si>
  <si>
    <t>I completely agree. What is the difference between discriminating against someone with tattoos on their skin and discriminating against them for the colour of their skin?</t>
  </si>
  <si>
    <t>https://www.reddit.com/r/australia/comments/p0nn8/comment/c3lq2b5</t>
  </si>
  <si>
    <t>smiley_baby</t>
  </si>
  <si>
    <t>LoRes_1209</t>
  </si>
  <si>
    <t>[151, 156]</t>
  </si>
  <si>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</si>
  <si>
    <t>https://www.reddit.com/r/britishproblems/comments/y0aeho/people_being_completely_unaware_of_signage_while/irqwnoj/</t>
  </si>
  <si>
    <t>britishproblems</t>
  </si>
  <si>
    <t>Illustrious_Dare_772</t>
  </si>
  <si>
    <t>LoRes_12191</t>
  </si>
  <si>
    <t>[118, 123]</t>
  </si>
  <si>
    <t xml:space="preserve">This is true. I think singularly, calling someone "a black" is pretty fucking offensive. That is reducing a person to their race. Racist people are downvoting you, because the right to be an asshole must never be questioned. </t>
  </si>
  <si>
    <t>https://www.reddit.com/r/australia/comments/p2b5r/comment/c3m03hf</t>
  </si>
  <si>
    <t>LoRes_1221</t>
  </si>
  <si>
    <t>[250, 254]</t>
  </si>
  <si>
    <t>I think if you shout, 'Come in', and it's someone you know they will normally come in, but if it's a stranger they would normally wait for you to come to the door. Also you have to remember the noise outside will be more than inside so it's possible they simply don't hear you</t>
  </si>
  <si>
    <t>https://www.reddit.com/r/AskUK/comments/xzuzmh/is_it_rude_to_say_come_in_when_somebody_knocks_at/irr1lrf/</t>
  </si>
  <si>
    <t>LoRes_1257</t>
  </si>
  <si>
    <t>[110, 114]</t>
  </si>
  <si>
    <t>Bonus points if there's a queue of lorries on their way!
I had someone stop at the end of a slip road because they literally shouldn't be on the road! Love having to pretend im in FAST&amp;amp;FURIOUS and do 0 to 70mph in my rusty red estate!!!!!!!!!!!!!!</t>
  </si>
  <si>
    <t>https://www.reddit.com/r/britishproblems/comments/y0bw51/drivers_merging_from_slip_onto_dual_carriageway/irs67ln/</t>
  </si>
  <si>
    <t>lO_ol-BRRRRRR</t>
  </si>
  <si>
    <t>LoRes_1269</t>
  </si>
  <si>
    <t>[82, 87]</t>
  </si>
  <si>
    <t>I doubt someone buying a place in cash would be worrying about whether to service their boiler annually lol</t>
  </si>
  <si>
    <t>https://www.reddit.com/r/AskUK/comments/y0ik3h/what_are_essential_things_to_know_when_you_buy_a/irszl85/</t>
  </si>
  <si>
    <t>Recessio_</t>
  </si>
  <si>
    <t>LoRes_12809</t>
  </si>
  <si>
    <t>[49, 53]</t>
  </si>
  <si>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</si>
  <si>
    <t>https://www.reddit.com/r/melbourne/comments/p44zr/comment/c3metlr</t>
  </si>
  <si>
    <t>edwardfingerhands</t>
  </si>
  <si>
    <t>LoRes_1313</t>
  </si>
  <si>
    <t>[43, 48]</t>
  </si>
  <si>
    <t>It’s Reddit. OP asked a question regarding their physical appearance… and we are all giving various bits of advice. You don’t have to listen or take it but slamming someone for trying to help people feel better is not in the spirit of the post.</t>
  </si>
  <si>
    <t>https://www.reddit.com/r/AskUK/comments/y0a1qm/has_anyone_traveled_to_turkey_to_get_hair/irutpwm/</t>
  </si>
  <si>
    <t>LoRes_1329</t>
  </si>
  <si>
    <t>[132, 136]</t>
  </si>
  <si>
    <t>Unnecessary beef? It's telling a neighbour they can't use your electricity... I can't imagine her telling that story to someone and them being on her side.</t>
  </si>
  <si>
    <t>https://www.reddit.com/r/britishproblems/comments/y0qgxq/we_just_had_a_car_charger_installed_and_now_the/iruxyto/</t>
  </si>
  <si>
    <t>cammyk123</t>
  </si>
  <si>
    <t>SCOTLAND</t>
  </si>
  <si>
    <t xml:space="preserve"> them</t>
  </si>
  <si>
    <t>LoRes_1416</t>
  </si>
  <si>
    <t>[44, 48]</t>
  </si>
  <si>
    <t>How to know someone hates you at Christmas… they buy you Quality Street instead of Roses…</t>
  </si>
  <si>
    <t>https://www.reddit.com/r/britishproblems/comments/y177pt/the_quality_street_golden_selection_missing_the/irwjj64/</t>
  </si>
  <si>
    <t>Ultimate_Pickle</t>
  </si>
  <si>
    <t>LoRes_1420</t>
  </si>
  <si>
    <t>[202, 207]</t>
  </si>
  <si>
    <t>I just walk where there are the least people walking towards me and move if I'm gonna collide. I'm far too polite sometimes and have been known to apologise when I've bumped into someone even if it was their fault.</t>
  </si>
  <si>
    <t>https://www.reddit.com/r/unitedkingdom/comments/o3tp1/comment/c3e5bbr</t>
  </si>
  <si>
    <t>SlashedSpoon</t>
  </si>
  <si>
    <t>Leeds</t>
  </si>
  <si>
    <t>LoRes_1554</t>
  </si>
  <si>
    <t>[66, 70]</t>
  </si>
  <si>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</si>
  <si>
    <t>https://www.reddit.com/r/AskUK/comments/xzk8qj/do_you_wash_your_tops_after_you_just_bought_it/is0ebv2/</t>
  </si>
  <si>
    <t>pinkleaf8</t>
  </si>
  <si>
    <t>LoRes_16246</t>
  </si>
  <si>
    <t>[79, 83]</t>
  </si>
  <si>
    <t>&amp;gt;Are you equating having sex with someone... to mowing their lawn or buying them a pizza???
&amp;gt;Apart from that being an abhorrent suggestion.
Why?</t>
  </si>
  <si>
    <t>https://www.reddit.com/r/australia/comments/pfebt/comment/c3oxdv5</t>
  </si>
  <si>
    <t>lollerkeet</t>
  </si>
  <si>
    <t>leftest</t>
  </si>
  <si>
    <t>them</t>
  </si>
  <si>
    <t>LoRes_1628</t>
  </si>
  <si>
    <t>[170, 174]</t>
  </si>
  <si>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</si>
  <si>
    <t>https://www.reddit.com/r/brisbane/comments/nzmok/comment/c3ecd71</t>
  </si>
  <si>
    <t>brisbane</t>
  </si>
  <si>
    <t>Quadlex</t>
  </si>
  <si>
    <t>Bake'n'Cake</t>
  </si>
  <si>
    <t>plural_they</t>
  </si>
  <si>
    <t>LoRes_1644</t>
  </si>
  <si>
    <t>[217, 222]</t>
  </si>
  <si>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</si>
  <si>
    <t>https://www.reddit.com/r/sydney/comments/y2h7q8/nsw_deputy_premier_devastated_over_brothers_drug/is3ef0p/</t>
  </si>
  <si>
    <t>sydney</t>
  </si>
  <si>
    <t>Joakal</t>
  </si>
  <si>
    <t>LoRes_16668</t>
  </si>
  <si>
    <t>[58, 62]</t>
  </si>
  <si>
    <t>how about if somewhere/someone else is worse off you help them out to balance the difference instead of investing in yourself even more ?</t>
  </si>
  <si>
    <t>https://www.reddit.com/r/australia/comments/pfn6y/comment/c3p6vae</t>
  </si>
  <si>
    <t>p3ngwin</t>
  </si>
  <si>
    <t>LoRes_1690</t>
  </si>
  <si>
    <t>[87, 97]</t>
  </si>
  <si>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</si>
  <si>
    <t>https://www.reddit.com/r/AskUK/comments/y2enz5/if_you_was_a_police_officer_would_you_arrest/is4mteu/</t>
  </si>
  <si>
    <t>watsee</t>
  </si>
  <si>
    <t xml:space="preserve"> themselves</t>
  </si>
  <si>
    <t>LoRes_1693</t>
  </si>
  <si>
    <t>[8, 13]</t>
  </si>
  <si>
    <t>Ask for their email address should something ever come up where you might need it. Even if it only contains their first name, it’s something. Just hope they aren’t using their OG Hotmail from when they were 13.</t>
  </si>
  <si>
    <t>https://www.reddit.com/r/britishproblems/comments/y2kkef/comment/is4nj6w/</t>
  </si>
  <si>
    <t>LoRes_1719</t>
  </si>
  <si>
    <t>[155, 160]</t>
  </si>
  <si>
    <t>I think in this case it is kind of understandable. They're on national TV. 
Although, I suppose there wouldn't be any negative repercussions to revealing their licence plates either. I doubt people actually target them or try to get revenge or anything.</t>
  </si>
  <si>
    <t>https://www.reddit.com/r/australia/comments/o2c3e/comment/c3efbt7</t>
  </si>
  <si>
    <t>LORDJEW_VAN_CUNTFUCK</t>
  </si>
  <si>
    <t>p.s DICKS</t>
  </si>
  <si>
    <t>LoRes_1747</t>
  </si>
  <si>
    <t>[352, 356]</t>
  </si>
  <si>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</si>
  <si>
    <t>https://www.reddit.com/r/AskUK/comments/y2wyyo/what_is_the_cost_to_my_employer_to_replace_me/is5lqif/</t>
  </si>
  <si>
    <t>GrimQuim</t>
  </si>
  <si>
    <t>LoRes_1782</t>
  </si>
  <si>
    <t>[81, 85]</t>
  </si>
  <si>
    <t>My standard response is the same as my mum’s: I don’t donate at the door. I tell them I’ll look up the website to donate and shut the door.</t>
  </si>
  <si>
    <t>https://www.reddit.com/r/britishproblems/comments/y2yujk/charity_rep_came_to_the_door_told_them_i_dont/is7bcpf/</t>
  </si>
  <si>
    <t>ElsaAzrael</t>
  </si>
  <si>
    <t>LoRes_19967</t>
  </si>
  <si>
    <t>[69, 73]</t>
  </si>
  <si>
    <t>When your SO complains about you leaving the toilet seat up you show them this video and explain you do it only for their safety.</t>
  </si>
  <si>
    <t>https://www.reddit.com/r/australia/comments/prow0/comment/c3rsm0q</t>
  </si>
  <si>
    <t>talentlessclown</t>
  </si>
  <si>
    <t>LoRes_2033</t>
  </si>
  <si>
    <t>[83, 88]</t>
  </si>
  <si>
    <t>The person next to me on my commute back did this then... brushed their crumbs off their leg into my direction.</t>
  </si>
  <si>
    <t>https://www.reddit.com/r/britishproblems/comments/y4l3nm/eating_with_the_mouth_open/isfjq34/</t>
  </si>
  <si>
    <t>emolga_91</t>
  </si>
  <si>
    <t>CONTEXT_ACCESSED: no
CONTEXT_REASON: n/a
‘Their’ refers to a specific individual—the friend who suggested lunch over coffee—whose gender is unspecified, so it’s a specific singular referent. singular</t>
  </si>
  <si>
    <t>CONTEXT_ACCESSED: no
CONTEXT_REASON: n/a
Antecedent is “some politian [politician],” a single hypothetical person; %they% refers back to that one individual with gender unspecified. Therefore it’s singular.</t>
  </si>
  <si>
    <t>CONTEXT_ACCESSED: no
CONTEXT_REASON: n/a
"They" refers to the specific cyclist/OP shown in the linked turn scenario; a single, specific person whose gender is unspecified. singular</t>
  </si>
  <si>
    <t>CONTEXT_ACCESSED: no
CONTEXT_REASON: n/a
Antecedent is “some poor parent” (indefinite, non-specific). “Their” refers back to this generic singular person to avoid specifying gender. generic</t>
  </si>
  <si>
    <t>CONTEXT_ACCESSED: no
CONTEXT_REASON: n/a
Antecedent: "someone who went asleep on the train" — an indefinite, non-specific person. The %they% refers back to this hypothetical person and is grammatically singular but non-referential. generic</t>
  </si>
  <si>
    <t>CONTEXT_ACCESSED: no
CONTEXT_REASON: n/a
"Their" refers back to the antecedent "someone," which is grammatically singular and non-specific/hypothetical; thus it’s singular they used generically. generic</t>
  </si>
  <si>
    <t>CONTEXT_ACCESSED: no
CONTEXT_REASON: n/a
Antecedent is a specific driver being discussed (“the driver”), so “their vehicle” refers to that one person with unknown gender. Therefore it’s singular. singular</t>
  </si>
  <si>
    <t>CONTEXT_ACCESSED: no
CONTEXT_REASON: n/a
Antecedent: “a person” in a hypothetical/general statement. “their” refers to an unspecified individual’s race; grammatically singular but non-specific. generic</t>
  </si>
  <si>
    <t>CONTEXT_ACCESSED: no
CONTEXT_REASON: n/a
Referent: an indefinite, non-specific person knocking (could be anyone). Grammatically singular “they” used generically to state a general possibility (not hearing). generic</t>
  </si>
  <si>
    <t>CONTEXT_ACCESSED: no
CONTEXT_REASON: n/a
Antecedent is “someone,” a specific single driver whose gender is unspecified; thus “they” is singular, specific usage. singular</t>
  </si>
  <si>
    <t>CONTEXT_ACCESSED: no
CONTEXT_REASON: n/a
Antecedent is “someone buying a place in cash,” an indefinite, hypothetical person. “Their” refers back to that non-specific singular person. generic</t>
  </si>
  <si>
    <t>CONTEXT_ACCESSED: no
CONTEXT_REASON: n/a
Antecedent is “your friend,” a single, specific person with unspecified gender; thus %they% is singular. singular</t>
  </si>
  <si>
    <t>CONTEXT_ACCESSED: no
CONTEXT_REASON: n/a
"their" refers to OP (a single, specific person of unknown/irrelevant gender). Therefore it is singular. singular</t>
  </si>
  <si>
    <t>CONTEXT_ACCESSED: no
CONTEXT_REASON: n/a
"Them" refers back to the indefinite "someone" she might tell the story to, a non-specific hypothetical individual; grammatically singular, non-referential. generic</t>
  </si>
  <si>
    <t>CONTEXT_ACCESSED: no
CONTEXT_REASON: n/a
'They' refers back to 'someone' (unspecified hypothetical person); grammatically singular and non-specific, used generically. generic</t>
  </si>
  <si>
    <t>CONTEXT_ACCESSED: no
CONTEXT_REASON: n/a
"their" refers to "someone" the speaker bumped into—one specific but gender-unknown individual; thus it’s a specific singular referent. singular</t>
  </si>
  <si>
    <t>CONTEXT_ACCESSED: no
CONTEXT_REASON: n/a
They refers to “someone” in the hypothetical “when someone says …,” a grammatically singular but non-specific person; this is singular they used generically. generic</t>
  </si>
  <si>
    <t>CONTEXT_ACCESSED: no
CONTEXT_REASON: n/a
“Them” refers back to “someone” (a single unspecified person), so it’s a specific but gender-unknown individual: singular</t>
  </si>
  <si>
    <t>CONTEXT_ACCESSED: no
CONTEXT_REASON: n/a
Antecedent is “People”; the pronoun “they” refers back to this plural noun phrase, meaning those people who didn’t get the outcomes they wanted. plural</t>
  </si>
  <si>
    <t>CONTEXT_ACCESSED: yes
CONTEXT_REASON: Checked the linked Reddit thread to confirm who “their local member” refers to.
Referent: the original commenter (a single, unspecified person) whose local member was being praised. The pronoun is specific but gender-unknown, modifying “local member” as possessed by one commenter. singular</t>
  </si>
  <si>
    <t>CONTEXT_ACCESSED: no
CONTEXT_REASON: n/a
Antecedent is “someone else” in a hypothetical scenario; it’s grammatically singular and non-specific. generic</t>
  </si>
  <si>
    <t>CONTEXT_ACCESSED: no
CONTEXT_REASON: n/a
Antecedent is a hypothetical individual (e.g., a driver) being discussed non-specifically; “themselves” is grammatically singular and generic rather than referring to a particular known person. generic</t>
  </si>
  <si>
    <t>CONTEXT_ACCESSED: no
CONTEXT_REASON: n/a
"their" refers to an unspecified individual in a general, instructional scenario (“ask for [a person’s] email address”), grammatically singular but non-specific. generic</t>
  </si>
  <si>
    <t>CONTEXT_ACCESSED: yes
CONTEXT_REASON: to identify the antecedent in the linked Reddit comment (police/police cars on RBT)
"their" refers to the police (and their cars/plates) shown on national TV—a specific, multiple-entity referent, not a generic or singular use. plural</t>
  </si>
  <si>
    <t>CONTEXT_ACCESSED: no
CONTEXT_REASON: n/a
Antecedent is “an amazing developer,” a single specific person; later also referred to as “he.” The %they% in “%they% weren’t missed” refers to that same individual, using singular they with plural agreement. singular</t>
  </si>
  <si>
    <t>CONTEXT_ACCESSED: yes
CONTEXT_REASON: Disambiguate whether “them” referred to one charity representative or multiple solicitors.
Refers to the specific door-to-door charity representative; a single, specific person with gender unspecified. singular</t>
  </si>
  <si>
    <t>CONTEXT_ACCESSED: no
CONTEXT_REASON: n/a
'them' refers to "your SO" (significant other), a single specific person with gender not specified; thus singular. singular</t>
  </si>
  <si>
    <t>CONTEXT_ACCESSED: no
CONTEXT_REASON: n/a
Antecedent is “The person next to me on my commute,” a specific individual with unknown gender; %their% refers back to that single person. singular</t>
  </si>
  <si>
    <t>LoRes_236</t>
  </si>
  <si>
    <t>[62, 66]</t>
  </si>
  <si>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</si>
  <si>
    <t>https://www.reddit.com/r/brisbane/comments/xtcamd/the_lord_mayor_advocating_for_daylight_savings/iqru5pw/</t>
  </si>
  <si>
    <t>mully_and_sculder</t>
  </si>
  <si>
    <t>CONTEXT_ACCESSED: no
CONTEXT_REASON: n/a
Antecedent is “a pro DST advocate,” which is a single specific person; “they” refers to that one individual. singular</t>
  </si>
  <si>
    <t>LoRes_2410</t>
  </si>
  <si>
    <t>[5, 9]</t>
  </si>
  <si>
    <t>Yeh, they can find out the location after they intentionally search for it. If a disassociated teenager has an interest in white supremacy, I don't think cancelling an event like this is going to stop that. I'm sure they have smaller more regular meetups.</t>
  </si>
  <si>
    <t>https://www.reddit.com/r/brisbane/comments/o7f9e/comment/c3f24kg</t>
  </si>
  <si>
    <t>rmdashr</t>
  </si>
  <si>
    <t>CONTEXT_ACCESSED: yes
CONTEXT_REASON: To identify the referent of the pronoun in the linked Reddit comment
Referent: white supremacists/the group organizing or attending such events. The pronoun denotes a group, not a single person or a generic singular. plural</t>
  </si>
  <si>
    <t>LoRes_24552</t>
  </si>
  <si>
    <t>[32, 36]</t>
  </si>
  <si>
    <t>I know someone selling. Ill ask them and let you know!</t>
  </si>
  <si>
    <t>https://www.reddit.com/r/melbourne/comments/q58iw/comment/c3vbrr8</t>
  </si>
  <si>
    <t>killadoublebrown</t>
  </si>
  <si>
    <t>CONTEXT_ACCESSED: no
CONTEXT_REASON: n/a
"Them" refers back to "someone," a single specific person whose gender is unspecified. Therefore it is singular</t>
  </si>
  <si>
    <t>LoRes_25135</t>
  </si>
  <si>
    <t>[12, 16]</t>
  </si>
  <si>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</si>
  <si>
    <t>https://www.reddit.com/r/brisbane/comments/q7jjl/comment/c3vs2uk</t>
  </si>
  <si>
    <t>sensator</t>
  </si>
  <si>
    <t>Bogan</t>
  </si>
  <si>
    <t>CONTEXT_ACCESSED: yes
CONTEXT_REASON: Antecedent unclear; checked linked Reddit comment to see who “them” refers to.
“Them” refers to the group distributing the anti-homosexual flyers (the “homophobic lobby”/Australian Family Association), i.e., a group entity. Therefore it’s plural. plural</t>
  </si>
  <si>
    <t>LoRes_252</t>
  </si>
  <si>
    <t>[20, 24]</t>
  </si>
  <si>
    <t>if a barber told me they had a headache, and asked if it was ok if you focus and not chat i think i would be ok with it right? maybe some fancy hair do people would care. if you need a break tell me xD</t>
  </si>
  <si>
    <t>https://www.reddit.com/r/AskUK/comments/xtz66e/hi_barber_here_here_to_see_if_any_of_you_lads_or/iqt1azt/</t>
  </si>
  <si>
    <t>SlinkyBits</t>
  </si>
  <si>
    <t>CONTEXT_ACCESSED: no
CONTEXT_REASON: n/a
Antecedent is “a barber” (one person) in a hypothetical; gender unspecified but clearly a single individual, so singular they. singular</t>
  </si>
  <si>
    <t>LoRes_256</t>
  </si>
  <si>
    <t>[344, 349]</t>
  </si>
  <si>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</si>
  <si>
    <t>https://www.reddit.com/r/australia/comments/nzkkl/comment/c3d7h3q</t>
  </si>
  <si>
    <t>Tenoq</t>
  </si>
  <si>
    <t>CONTEXT_ACCESSED: no
CONTEXT_REASON: n/a
"their" refers back to "your neighbour," a single, specific person of unknown gender; thus singular. singular</t>
  </si>
  <si>
    <t>LoRes_264</t>
  </si>
  <si>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</si>
  <si>
    <t>https://www.reddit.com/r/australia/comments/xtl7pr/is_this_message_i_recieved_on_marketplace_a_scam/iqtetel/</t>
  </si>
  <si>
    <t>Pollyputthekettle1</t>
  </si>
  <si>
    <t>CONTEXT_ACCESSED: yes
CONTEXT_REASON: Verified whether “them” referred to a single scammer-buyer or multiple people in the linked comment.
Antecedent is the individual buyer/scammer who messaged the seller; gender unspecified but clearly one person (“they wanted to pay… they lost interest”). Therefore the highlighted “them” is singular. singular</t>
  </si>
  <si>
    <t>LoRes_2690</t>
  </si>
  <si>
    <t>[114, 124]</t>
  </si>
  <si>
    <t>There are only two people who have the power to do that currently, and one of them certainly isn’t going to throw themselves out of a job voluntarily.</t>
  </si>
  <si>
    <t>https://www.reddit.com/r/unitedkingdom/comments/y8blxu/liz_truss_does_not_vote_in_fracking_motion/iszaesi/</t>
  </si>
  <si>
    <t>MC_chrome</t>
  </si>
  <si>
    <t>CONTEXT_ACCESSED: no
CONTEXT_REASON: n/a
Referent: “themselves” refers back to “one of them,” i.e., a single specific person from the two mentioned. Singular they used for an identified-but-ungendered individual. singular</t>
  </si>
  <si>
    <t>LoRes_276</t>
  </si>
  <si>
    <t>[85, 90]</t>
  </si>
  <si>
    <t>cases like this are much more alarming because it isn't just the rider being hurt by their stupidity: https://www.abc.net.au/news/2022-08-30/who-is-liable-for-e-scooter-accident-rider-or-hire-company/101341196</t>
  </si>
  <si>
    <t>https://www.reddit.com/r/melbourne/comments/xu6sjp/man_dies_in_hospital_after_escooter_crash_in/iqu3kl8/</t>
  </si>
  <si>
    <t>Lamont-Cranston</t>
  </si>
  <si>
    <t>CONTEXT_ACCESSED: yes
CONTEXT_REASON: To confirm the antecedent of "their" in the linked Reddit comment.
"Their" refers back to "the rider" (a single specific person), using singular they to keep gender unspecified. singular</t>
  </si>
  <si>
    <t>LoRes_344</t>
  </si>
  <si>
    <t>[93, 97]</t>
  </si>
  <si>
    <t>100% - it is two-way which so many people miss. You arent doing someone a favour by offering them a job - and in this market often the employer needs someone more rhan the interviewees need a new job.</t>
  </si>
  <si>
    <t>https://www.reddit.com/r/AskUK/comments/xufpqx/do_you_send_thank_you_emails_after_a_job_interview/iqvoh7c/</t>
  </si>
  <si>
    <t>pintsizedblonde2</t>
  </si>
  <si>
    <t>CONTEXT_ACCESSED: no
CONTEXT_REASON: n/a
"Them" refers to "someone" (a hypothetical, nonspecific job candidate). It’s grammatically singular and non-referential, used generically about a person in that scenario. generic</t>
  </si>
  <si>
    <t>LoRes_3442</t>
  </si>
  <si>
    <t>[87, 92]</t>
  </si>
  <si>
    <t>Why can't the cold worker put on another layer or maybe even use a hot water bottle on their lap or something? That seems like it would be a fairer situation.</t>
  </si>
  <si>
    <t>https://www.reddit.com/r/britishproblems/comments/yc84y7/most_people_in_the_office_are_warm_enough_one/itl04to/</t>
  </si>
  <si>
    <t>ivoryfrog</t>
  </si>
  <si>
    <t>CONTEXT_ACCESSED: no
CONTEXT_REASON: n/a
Refers to “the cold worker,” a single specific person with unknown gender; grammatically and semantically singular. singular</t>
  </si>
  <si>
    <t>LoRes_3634</t>
  </si>
  <si>
    <t>I have a relative that pretends they didn’t vote</t>
  </si>
  <si>
    <t>https://www.reddit.com/r/unitedkingdom/comments/yd2ve2/jacob_reesmogg_has_resigned/itpvavj/</t>
  </si>
  <si>
    <t>Violet351</t>
  </si>
  <si>
    <t>CONTEXT_ACCESSED: no
CONTEXT_REASON: n/a
Antecedent is “a relative,” a single, specific person; “they” is a gender-neutral singular referring to that person. singular</t>
  </si>
  <si>
    <t>LoRes_370</t>
  </si>
  <si>
    <t>[73, 77]</t>
  </si>
  <si>
    <t>Yeah maybe just don't approach a woman on the street when you don't know them</t>
  </si>
  <si>
    <t>https://www.reddit.com/r/AskUK/comments/xulg8l/i_very_much_fancy_the_lady_who_walks_past_my/iqwb1tj/</t>
  </si>
  <si>
    <t>harryFF</t>
  </si>
  <si>
    <t>CONTEXT_ACCESSED: no
CONTEXT_REASON: n/a
Referent: the indefinite “a woman on the street” in a general admonition. The pronoun “them” stands for a nonspecific person in a hypothetical, grammatically singular context. generic</t>
  </si>
  <si>
    <t>LoRes_3727</t>
  </si>
  <si>
    <t>[167, 171]</t>
  </si>
  <si>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</si>
  <si>
    <t>https://www.reddit.com/r/unitedkingdom/comments/ycylk1/dwp_admits_court_defeat_after_universal_credit/itsdfus/</t>
  </si>
  <si>
    <t>savvy_shoppers</t>
  </si>
  <si>
    <t>CONTEXT_ACCESSED: no
CONTEXT_REASON: n/a
Antecedent: “the caller” in a hypothetical scenario. It’s a single but non-specific person; singular they used generically. generic</t>
  </si>
  <si>
    <t>LoRes_4724</t>
  </si>
  <si>
    <t>[166, 170]</t>
  </si>
  <si>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</si>
  <si>
    <t>https://www.reddit.com/r/unitedkingdom/comments/ocho8/comment/c3ggazd</t>
  </si>
  <si>
    <t>CraigTorso</t>
  </si>
  <si>
    <t>CONTEXT_ACCESSED: yes
CONTEXT_REASON: To confirm the antecedent in the Reddit thread (“chuggers”/street fundraisers).
Antecedent is “someone whoring themselves for a charity” (a nonspecific individual chugger). The speaker states a general policy toward such a person; “them” is singular, non-referential. generic</t>
  </si>
  <si>
    <t>LoRes_4768</t>
  </si>
  <si>
    <t>[120, 124]</t>
  </si>
  <si>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</si>
  <si>
    <t>https://www.reddit.com/r/unitedkingdom/comments/odvsy/comment/c3ghkhv</t>
  </si>
  <si>
    <t>Tommah666</t>
  </si>
  <si>
    <t>Red Rose Redditor</t>
  </si>
  <si>
    <t>CONTEXT_ACCESSED: no
CONTEXT_REASON: n/a
Antecedent: “someone” (a hypothetical, non-specific person who smells of an illegal substance). The sentence uses singular they for an unspecified individual in a general scenario. generic</t>
  </si>
  <si>
    <t>LoRes_5283</t>
  </si>
  <si>
    <t>[165, 170]</t>
  </si>
  <si>
    <t>Oh, I wasn't disagreeing with you! I just thought I'd try and make a funny, working on the idea that the notion of a married person doing any kind of sex outside of their marriage is *unthinkable* to a Tory :D
I think I failed :(</t>
  </si>
  <si>
    <t>https://www.reddit.com/r/unitedkingdom/comments/ofaj9/comment/c3gt0im</t>
  </si>
  <si>
    <t>widgetas</t>
  </si>
  <si>
    <t>CONTEXT_ACCESSED: no
CONTEXT_REASON: n/a
"their" refers back to "a married person" in a hypothetical, grammatically singular but non-specific usage; thus it’s generic singular they. generic</t>
  </si>
  <si>
    <t>LoRes_6021</t>
  </si>
  <si>
    <t>[248, 255]</t>
  </si>
  <si>
    <t>I agree that the person went there to provoke the guy and probably said other things to get that guy pissed off. That said, you should NEVER act like that when someone's just talking and shooting you with a video camera... they aren't hurting you, they're just being a dickhead.</t>
  </si>
  <si>
    <t>https://www.reddit.com/r/australia/comments/ohpyb/comment/c3hglsk</t>
  </si>
  <si>
    <t>CRAZYSCIENTIST</t>
  </si>
  <si>
    <t>they're</t>
  </si>
  <si>
    <t>CONTEXT_ACCESSED: no
CONTEXT_REASON: n/a
Antecedent is the indefinite “someone” in the hypothetical advice (“when someone’s … they aren’t hurting you”), so it’s a grammatically singular, non-specific referent. generic</t>
  </si>
  <si>
    <t>LoRes_623</t>
  </si>
  <si>
    <t>[252, 256]</t>
  </si>
  <si>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</si>
  <si>
    <t>https://www.reddit.com/r/AskUK/comments/xvuas5/door_buzzed_late_in_11pm_sus_guy_fled_what_should/ir4mj6i/</t>
  </si>
  <si>
    <t>lithaborn</t>
  </si>
  <si>
    <t>CONTEXT_ACCESSED: no
CONTEXT_REASON: n/a
Antecedent: the resident (the friend’s friend); “what number they are” = the resident’s flat number. Grammatically and semantically a single, specific person of unknown gender. singular</t>
  </si>
  <si>
    <t>LoRes_626</t>
  </si>
  <si>
    <t>[200, 210]</t>
  </si>
  <si>
    <t>I think they might be referring to historically anyone in the US with some black ancestry was considered black (one-drop rule) but someone in the UK with one black and one white parent might consider themselves (equally) mixed race.</t>
  </si>
  <si>
    <t>https://www.reddit.com/r/AskUK/comments/xw0gyn/what_are_essential_parts_of_uk_culture_that/ir4nr2p/</t>
  </si>
  <si>
    <t>Takver_</t>
  </si>
  <si>
    <t>CONTEXT_ACCESSED: no
CONTEXT_REASON: n/a
"Themselves" refers to "someone in the UK with one black and one white parent," which is a single but non-specific person in a hypothetical. Therefore it’s singular in grammar and generic in reference. generic</t>
  </si>
  <si>
    <t>LoRes_642</t>
  </si>
  <si>
    <t>Wait, someone from GandP posted an exchange they had with the mods of this sub on GandP and got banned here?</t>
  </si>
  <si>
    <t>https://www.reddit.com/r/unitedkingdom/comments/xvl6lu/suella_braverman_says_it_is_her_dream_and/ir4ukds/</t>
  </si>
  <si>
    <t>nonbog</t>
  </si>
  <si>
    <t>CONTEXT_ACCESSED: no
CONTEXT_REASON: n/a
Antecedent is “someone from GandP,” a specific but gender-unknown single person; “they” stands in for that individual. singular</t>
  </si>
  <si>
    <t>LoRes_691</t>
  </si>
  <si>
    <t>[22, 27]</t>
  </si>
  <si>
    <t>[lectures OP based on their own misapprehension]
"Anyway. You do you."</t>
  </si>
  <si>
    <t>https://www.reddit.com/r/AskUK/comments/xwj9nh/if_you_have_a_mcdonalds_for_breakfast_what_do_you/ir6u8kb/</t>
  </si>
  <si>
    <t>CONTEXT_ACCESSED: yes
CONTEXT_REASON: Disambiguate whether “their” refers to OP or the lecturer in the linked comment
“their” refers to the single person doing the lecturing; it’s a specific individual whose gender is unspecified. singular</t>
  </si>
  <si>
    <t>LoRes_7368</t>
  </si>
  <si>
    <t>[98, 105]</t>
  </si>
  <si>
    <t>Nothing gets my back up quite like someone describing themselves as a 'realist'.  Especially when they're not talking about philosophy.  It's basically an adjective that means "I believe I'm right".</t>
  </si>
  <si>
    <t>https://www.reddit.com/r/australia/comments/omk22/comment/c3iga96</t>
  </si>
  <si>
    <t>curiouslystrongmints</t>
  </si>
  <si>
    <t>CONTEXT_ACCESSED: no
CONTEXT_REASON: n/a
They refers to the indefinite singular antecedent “someone,” used non-specifically to describe a hypothetical person; thus it’s singular in form but generic in reference. generic</t>
  </si>
  <si>
    <t>LoRes_7681</t>
  </si>
  <si>
    <t>[53, 60]</t>
  </si>
  <si>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</si>
  <si>
    <t>https://www.reddit.com/r/unitedkingdom/comments/onesn/comment/c3inkm3</t>
  </si>
  <si>
    <t>Caldariblue</t>
  </si>
  <si>
    <t>CONTEXT_ACCESSED: no
CONTEXT_REASON: n/a
Referent: “they’re” clearly refers back to “a security guard,” a single, specific person whose gender is unspecified. Therefore it is singular.</t>
  </si>
  <si>
    <t>LoRes_919</t>
  </si>
  <si>
    <t>[228, 233]</t>
  </si>
  <si>
    <t>I mean yes, but I think you overestimate the critical thinking skills of the average redditer. There *are* people on here who use and recommend hard drugs regularly as a hobby, and OP could potentially still be in recovery from their drug use.</t>
  </si>
  <si>
    <t>https://www.reddit.com/r/AskUK/comments/xxrbwm/im_nearly_25_and_i_dont_have_anyone_what_can_i_do/irfdv24/</t>
  </si>
  <si>
    <t>DoubleUnderscore</t>
  </si>
  <si>
    <t>CONTEXT_ACCESSED: no
CONTEXT_REASON: n/a
Antecedent: OP (a single specific person). Gender unspecified/irrelevant; refers to one individual’s drug use. Therefore singular.</t>
  </si>
  <si>
    <t>LoRes_969</t>
  </si>
  <si>
    <t>[45, 49]</t>
  </si>
  <si>
    <t>See a bulk billed doctor and discuss it with them. I think you can get 10 sessions with a psychologist either free or heavily discounted</t>
  </si>
  <si>
    <t>https://www.reddit.com/r/melbourne/comments/xynq61/how_do_i_get_help_for_mental_health_when_im_dead/irhy9df/</t>
  </si>
  <si>
    <t>Electronic_Rice4625</t>
  </si>
  <si>
    <t>CONTEXT_ACCESSED: no
CONTEXT_REASON: n/a
Referent: “a bulk billed doctor” (the one you go to see). Singular they used for a specific but gender-unknown individual. singular</t>
  </si>
  <si>
    <t>ma_era_108431</t>
  </si>
  <si>
    <t>[260, 265]</t>
  </si>
  <si>
    <t>Basically this. Some people think dogs are only meant for outdoors. I disagree but that’s irrelevant. OPs dog is an indoor dog so that needs to be accounted for when passing judgment. Why would you account for what other people do when someone is asking about their specific case?</t>
  </si>
  <si>
    <t>https://www.reddit.com/r/AmItheAsshole/comments/db9dtn/aita_for_refusing_to_give_my_niece_our_dogs_room/f22lip2/</t>
  </si>
  <si>
    <t>AmItheAsshole</t>
  </si>
  <si>
    <t>Blahblah987369</t>
  </si>
  <si>
    <t xml:space="preserve">their </t>
  </si>
  <si>
    <t>CONTEXT_ACCESSED: no
CONTEXT_REASON: n/a
Antecedent is “someone,” an indefinite singular referent; “their” is grammatically singular and non-specific, used generically for an unspecified person. generic</t>
  </si>
  <si>
    <t>ma_era_108749</t>
  </si>
  <si>
    <t>[22, 26]</t>
  </si>
  <si>
    <t>Dude, fucking chill.
They're having some server issues at the moment</t>
  </si>
  <si>
    <t>https://www.reddit.com/r/Steam/comments/dbkzu9/cant_open_steam_online_or_offline_despite/f22ljwk/</t>
  </si>
  <si>
    <t>Steam</t>
  </si>
  <si>
    <t>Endulos</t>
  </si>
  <si>
    <t>They'</t>
  </si>
  <si>
    <t>CONTEXT_ACCESSED: no
CONTEXT_REASON: n/a
Refers to a company/service provider (e.g., Steam) as an impersonal/collective “they” responsible for server issues; that’s a collective/group noun usage → plural</t>
  </si>
  <si>
    <t>ma_era_1091483</t>
  </si>
  <si>
    <t>[175, 180]</t>
  </si>
  <si>
    <t>https://charles-aux-fraises.tumblr.com/post/650895872173981696/yuukoku-no-moriarty-chapter-58-part-1-please
i read it off here in tumblr, they have posted the other parts on their account too, hope it helps!</t>
  </si>
  <si>
    <t>https://www.reddit.com/r/MoriartyPatriot/comments/np03m4/anyone_know_when_chapter_59_is_coming_out_the/h07l22y/</t>
  </si>
  <si>
    <t>MoriartyPatriot</t>
  </si>
  <si>
    <t>iwannagotokepler22B</t>
  </si>
  <si>
    <t>CONTEXT_ACCESSED: yes
CONTEXT_REASON: Checked the linked Reddit comment to see who “they” referred to.
Antecedent: the Tumblr account holder who posted the parts. It refers to one specific poster whose gender is unspecified. Therefore, this is singular. singular</t>
  </si>
  <si>
    <t>ma_era_117784</t>
  </si>
  <si>
    <t>[454, 458]</t>
  </si>
  <si>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</si>
  <si>
    <t>https://www.reddit.com/r/JustNoSO/comments/dbcj2t/wife_of_an_immigrant_with_a_serious_medical/f22mm6b/</t>
  </si>
  <si>
    <t>JustNoSO</t>
  </si>
  <si>
    <t>keetstreet</t>
  </si>
  <si>
    <t>them.</t>
  </si>
  <si>
    <t>CONTEXT_ACCESSED: no
CONTEXT_REASON: n/a
Antecedent of %them% is “anyone” in “keep anyone from killing themselves,” which is grammatically singular and non-specific; thus %them% is generic singular they. generic</t>
  </si>
  <si>
    <t>ma_era_1216208</t>
  </si>
  <si>
    <t>[307, 311]</t>
  </si>
  <si>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</si>
  <si>
    <t>https://www.reddit.com/r/AmItheAsshole/comments/npt729/aita_for_shaming_my_sister_for_offering_to/h07v4bu/</t>
  </si>
  <si>
    <t>AkariAitsuki</t>
  </si>
  <si>
    <t>CONTEXT_ACCESSED: no
CONTEXT_REASON: n/a
Referent: OP (a single specific person). The writer uses “they” to avoid specifying OP’s gender; it is grammatically and semantically singular here. singular</t>
  </si>
  <si>
    <t>ma_era_126123</t>
  </si>
  <si>
    <t>[403, 407]</t>
  </si>
  <si>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</si>
  <si>
    <t>https://www.reddit.com/r/AmItheAsshole/comments/dbbqwy/aita_for_not_paying_for_not_paying_for_my_gfs_son/f22njy1/</t>
  </si>
  <si>
    <t>albino_polar_bears</t>
  </si>
  <si>
    <t xml:space="preserve">them </t>
  </si>
  <si>
    <t>CONTEXT_ACCESSED: no
CONTEXT_REASON: n/a
%them% refers to “a rebellious 15 year old” in a hypothetical, non-specific sense; grammatically singular but generic. generic</t>
  </si>
  <si>
    <t>ma_era_138026</t>
  </si>
  <si>
    <t>[178, 183]</t>
  </si>
  <si>
    <t>Exactly. See my comment in this thread or just respond here. I'm getting ready to do it I don't have a good reason not to. Why is it more gross than watching someone put food in their mouth and chew? Does anyone really care?</t>
  </si>
  <si>
    <t>https://www.reddit.com/r/AskReddit/comments/dbls0y/when_you_finish_a_meal_at_a_restaurant_is_it_okay/f22opkc/</t>
  </si>
  <si>
    <t>AskReddit</t>
  </si>
  <si>
    <t>givemethephotons</t>
  </si>
  <si>
    <t>CONTEXT_ACCESSED: no
CONTEXT_REASON: n/a
'their' refers to "someone" (a single unspecified person), so it is grammatically singular and non-specific, i.e., generic. generic</t>
  </si>
  <si>
    <t>ma_era_1421558</t>
  </si>
  <si>
    <t>[188, 192]</t>
  </si>
  <si>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</si>
  <si>
    <t>https://www.reddit.com/r/PublicFreakout/comments/npwc1i/these_idiots_ran_out_on_their_bill_but_forgot/h08bn51/</t>
  </si>
  <si>
    <t>PublicFreakout</t>
  </si>
  <si>
    <t>trandy69</t>
  </si>
  <si>
    <t>CONTEXT_ACCESSED: no
CONTEXT_REASON: n/a
Referent: the single group member who asked the server for a bandaid (“one of them”). The pronoun “them” is grammatically singular and refers to that specific person. singular</t>
  </si>
  <si>
    <t>ma_era_1459126</t>
  </si>
  <si>
    <t>[0, 4]</t>
  </si>
  <si>
    <t>they're trying to make daddy Heinrich Kramer proud.</t>
  </si>
  <si>
    <t>https://www.reddit.com/r/CatholicMemes/comments/npvscp/hopefully_the_german_bishops_will_take_heed_of/h08eozn/</t>
  </si>
  <si>
    <t>CatholicMemes</t>
  </si>
  <si>
    <t>ProfessorZik-Chil</t>
  </si>
  <si>
    <t>Regular Poster</t>
  </si>
  <si>
    <t>they'</t>
  </si>
  <si>
    <t>CONTEXT_ACCESSED: yes
CONTEXT_REASON: To identify who “they” refers to in the linked Reddit comment.
Referent: “they” points to the German bishops mentioned in the post title; this is a definite group of multiple people. ([reddit.com](https://www.reddit.com/r/CatholicMemes/comments/npvscp/hopefully_the_german_bishops_will_take_heed_of/h08eozn/))
Category: plural</t>
  </si>
  <si>
    <t>ma_era_14621937</t>
  </si>
  <si>
    <t>[888, 892]</t>
  </si>
  <si>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</si>
  <si>
    <t>https://www.reddit.com/r/Anarcho_Capitalism/comments/nv2hox/regulation_can_be_so_arbitrary/h149glx/</t>
  </si>
  <si>
    <t>Anarcho_Capitalism</t>
  </si>
  <si>
    <t>kingofthejaffacakes</t>
  </si>
  <si>
    <t>CONTEXT_ACCESSED: no
CONTEXT_REASON: n/a
Antecedent is “the teller,” a single, specific person; gender unspecified, so “they” is singular-specific. singular</t>
  </si>
  <si>
    <t>ma_era_151697</t>
  </si>
  <si>
    <t>[209, 213]</t>
  </si>
  <si>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</si>
  <si>
    <t>https://www.reddit.com/r/WarCry/comments/d81glg/battle_tracker_for_warcry_beta_available/f22pwlg/</t>
  </si>
  <si>
    <t>WarCry</t>
  </si>
  <si>
    <t>Inquisitorsz</t>
  </si>
  <si>
    <t>CONTEXT_ACCESSED: no
CONTEXT_REASON: n/a
Antecedent of "them" is "lists" in "refer to lists without writing things down or printing them out," which is a plural noun. plural</t>
  </si>
  <si>
    <t>ma_era_1618479</t>
  </si>
  <si>
    <t>[97, 101]</t>
  </si>
  <si>
    <t>Kind of hard to see their point when almost all of this guy’s comment on this post are about how they hate straight men</t>
  </si>
  <si>
    <t>https://www.reddit.com/r/teenagers/comments/npz271/just_a_friendly_reminder/h08riwt/</t>
  </si>
  <si>
    <t>teenagers</t>
  </si>
  <si>
    <t>jarasonica</t>
  </si>
  <si>
    <t>16</t>
  </si>
  <si>
    <t xml:space="preserve">they </t>
  </si>
  <si>
    <t>CONTEXT_ACCESSED: no
CONTEXT_REASON: n/a
Antecedent is “this guy” (a specific person). The writer uses they in place of he to refer to that one individual. Therefore it’s a specific, grammatically singular referent: singular</t>
  </si>
  <si>
    <t>ma_era_1788444</t>
  </si>
  <si>
    <t>[265, 269]</t>
  </si>
  <si>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</si>
  <si>
    <t>https://www.reddit.com/r/DestinyLore/comments/nq0t0u/a_familiar_hunter_was_showing_his_bad_side/h095pg0/</t>
  </si>
  <si>
    <t>DestinyLore</t>
  </si>
  <si>
    <t>ShardPerson</t>
  </si>
  <si>
    <t>CONTEXT_ACCESSED: no
CONTEXT_REASON: n/a
Antecedent is the earlier “someone” (a hypothetical individual who is racist and in power). Grammatically singular, non-specific; “they” is the generic singular used for an unspecified person. generic</t>
  </si>
  <si>
    <t>ma_era_180776</t>
  </si>
  <si>
    <t>[67, 71]</t>
  </si>
  <si>
    <t>Correct. The person who put them in this situation is to blame, as they stated.</t>
  </si>
  <si>
    <t>https://www.reddit.com/r/AnimalsBeingJerks/comments/dbj6ep/this_is_mine/f22skqh/</t>
  </si>
  <si>
    <t>AnimalsBeingJerks</t>
  </si>
  <si>
    <t>Endless_Summer</t>
  </si>
  <si>
    <t>CONTEXT_ACCESSED: no
CONTEXT_REASON: n/a
"They" refers back to "the person who put them in this situation," a single, specific individual whose gender is unspecified. singular</t>
  </si>
  <si>
    <t>ma_era_187975</t>
  </si>
  <si>
    <t>They have never been observed asking questions in any context, in the wild or captivity.</t>
  </si>
  <si>
    <t>https://www.reddit.com/r/science/comments/dbgkfs/scientists_present_new_evidence_that_great_apes/f22t8b6/</t>
  </si>
  <si>
    <t>science</t>
  </si>
  <si>
    <t>Mandorism</t>
  </si>
  <si>
    <t xml:space="preserve">They </t>
  </si>
  <si>
    <t>CONTEXT_ACCESSED: yes
CONTEXT_REASON: To identify the antecedent in the linked Reddit thread (great apes)
Antecedent: great apes as a group/species; refers to multiple individuals, not a generic singular or impersonal “they.” plural</t>
  </si>
  <si>
    <t>ma_era_188358</t>
  </si>
  <si>
    <t>[707, 711]</t>
  </si>
  <si>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</si>
  <si>
    <t>https://www.reddit.com/r/AskReddit/comments/dbaitw/serious_reddit_whats_the_creepiestdownright/f22t9ny/</t>
  </si>
  <si>
    <t>XXBattlefieldc1917xx</t>
  </si>
  <si>
    <t>CONTEXT_ACCESSED: no
CONTEXT_REASON: n/a
Referent: the news crews/reporters from the “news vans” who blockaded the area. They are multiple people, so the pronoun is plural. plural</t>
  </si>
  <si>
    <t>ma_era_191586</t>
  </si>
  <si>
    <t>[333, 337]</t>
  </si>
  <si>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</si>
  <si>
    <t>https://www.reddit.com/r/antinatalism/comments/dberbk/why_is_there_therapy/f22tlab/</t>
  </si>
  <si>
    <t>antinatalism</t>
  </si>
  <si>
    <t>janetisthename</t>
  </si>
  <si>
    <t>CONTEXT_ACCESSED: no
CONTEXT_REASON: n/a
Referent: “an objective stranger” (i.e., a hypothetical therapist/stranger).
Reasoning: Grammatically singular and non-specific; used for a generic person in a scenario.
generic</t>
  </si>
  <si>
    <t>ma_era_192211</t>
  </si>
  <si>
    <t>[53, 57]</t>
  </si>
  <si>
    <t>So you mean a way to basically be in the arena while they’re playing?</t>
  </si>
  <si>
    <t>https://www.reddit.com/r/RocketLeague/comments/dayxln/in_game_viewer_system/f22tn6w/</t>
  </si>
  <si>
    <t>RocketLeague</t>
  </si>
  <si>
    <t>sSausages</t>
  </si>
  <si>
    <t>they’</t>
  </si>
  <si>
    <t>CONTEXT_ACCESSED: yes
CONTEXT_REASON: Needed to identify the antecedent in the linked Reddit comment
Antecedent: “pro players” mentioned in the thread; the question is about being in the arena while those players are playing. ([reddit.com](https://www.reddit.com/r/RocketLeague/comments/dayxln/in_game_viewer_system/f22tn6w/))
Since it refers to multiple players, the pronoun is plural. plural</t>
  </si>
  <si>
    <t>ma_era_196099</t>
  </si>
  <si>
    <t>[389, 393]</t>
  </si>
  <si>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</si>
  <si>
    <t>https://www.reddit.com/r/reddevils/comments/das5v4/jonathan_wilson_ditching_ole_gunnar_solskjær_will/f22u15m/</t>
  </si>
  <si>
    <t>reddevils</t>
  </si>
  <si>
    <t>amalgamatedchaos</t>
  </si>
  <si>
    <t>Less Talking, More Walking...</t>
  </si>
  <si>
    <t>CONTEXT_ACCESSED: no
CONTEXT_REASON: n/a
Antecedent is “those who have any decision-making clout”/“they all collectively,” i.e., multiple decision-makers. The pronoun %they% refers back to that plural group. plural</t>
  </si>
  <si>
    <t>ma_era_1998923</t>
  </si>
  <si>
    <t>[505, 509]</t>
  </si>
  <si>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</si>
  <si>
    <t>https://www.reddit.com/r/techsupportgore/comments/nqbapb/i_tried_my_best_and_no_it_didnt_work/h09o72o/</t>
  </si>
  <si>
    <t>techsupportgore</t>
  </si>
  <si>
    <t>exponant</t>
  </si>
  <si>
    <t>CONTEXT_ACCESSED: no
CONTEXT_REASON: n/a
Referent: “OP” (a single repost-bot account). The sentence describes this specific OP’s behavior; gender/identity unspecified but clearly one entity. Therefore, singular.</t>
  </si>
  <si>
    <t>ma_era_202069</t>
  </si>
  <si>
    <t>[733, 737]</t>
  </si>
  <si>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</si>
  <si>
    <t>https://www.reddit.com/r/Unexpected/comments/dbev2j/lifting_heavy_balls/f22uknn/</t>
  </si>
  <si>
    <t>Unexpected</t>
  </si>
  <si>
    <t>AverageJoe85</t>
  </si>
  <si>
    <t>CONTEXT_ACCESSED: no
CONTEXT_REASON: n/a
"They" refers to "that person" in a hypothetical scenario; it’s grammatically singular and non-specific. generic</t>
  </si>
  <si>
    <t>ma_era_202920</t>
  </si>
  <si>
    <t>[40, 44]</t>
  </si>
  <si>
    <t>i recommend the flakker or the butcher, they are amazing shotguns</t>
  </si>
  <si>
    <t>https://www.reddit.com/r/borderlands3/comments/dbmlp5/i_hate_this_game_sometimes/f22unpo/</t>
  </si>
  <si>
    <t>borderlands3</t>
  </si>
  <si>
    <t>asvp_alvxro</t>
  </si>
  <si>
    <t>CONTEXT_ACCESSED: no
CONTEXT_REASON: n/a
Referent: “the flakker or the butcher” = two shotguns; %they% refers to this pair, thus multiple items. plural</t>
  </si>
  <si>
    <t>ma_era_2042801</t>
  </si>
  <si>
    <t>[254, 259]</t>
  </si>
  <si>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</si>
  <si>
    <t>https://www.reddit.com/r/MandJTV/comments/npmzjf/took_me_around_12_hours_but_im_happy_with_the/h09scxb/</t>
  </si>
  <si>
    <t>MandJTV</t>
  </si>
  <si>
    <t>UnhealingMedic</t>
  </si>
  <si>
    <t>CONTEXT_ACCESSED: no
CONTEXT_REASON: n/a
Antecedent: OP (a single, specific person). “Their” refers to OP’s teacher relationship; gender unspecified. Category: singular. singular</t>
  </si>
  <si>
    <t>ma_era_2069279</t>
  </si>
  <si>
    <t>[141, 145]</t>
  </si>
  <si>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</si>
  <si>
    <t>https://www.reddit.com/r/NoStupidQuestions/comments/nq2h3l/so_if_minors_cannot_vote_but_can_be_taxed_isnt/h09utmd/</t>
  </si>
  <si>
    <t>NoStupidQuestions</t>
  </si>
  <si>
    <t>pawn_guy</t>
  </si>
  <si>
    <t>CONTEXT_ACCESSED: no
CONTEXT_REASON: n/a
Antecedent: “the store” (a company/collective entity). Collective nouns are treated as plural in your scheme, so “them” refers to that group-like entity. plural</t>
  </si>
  <si>
    <t>ma_era_207934</t>
  </si>
  <si>
    <t>[474, 478]</t>
  </si>
  <si>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</si>
  <si>
    <t>https://www.reddit.com/r/recruitinghell/comments/dblv2m/dear_hiring_managers_if_you_expect_us_job_seekers/f22v64e/</t>
  </si>
  <si>
    <t>recruitinghell</t>
  </si>
  <si>
    <t>LeslieNope69</t>
  </si>
  <si>
    <t>CONTEXT_ACCESSED: yes
CONTEXT_REASON: Checked the linked Reddit comment to confirm the antecedent of “they” as the second staffing agency/company.
“They” refers to the second company (a staffing agency) that made the offer and promised to call back; a company is treated as a collective/group noun here, so plural. plural</t>
  </si>
  <si>
    <t>ma_era_211758</t>
  </si>
  <si>
    <t>[356, 360]</t>
  </si>
  <si>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</si>
  <si>
    <t>https://www.reddit.com/r/GarenMains/comments/dbk0vy/im_just_shocked_i_dont_even_know_what_to_put_in/f22visz/</t>
  </si>
  <si>
    <t>GarenMains</t>
  </si>
  <si>
    <t>GarenTopLane</t>
  </si>
  <si>
    <t>CONTEXT_ACCESSED: no
CONTEXT_REASON: n/a
Antecedent: the game developers/company making design decisions (collective decision-makers).
Reasoning: Refers to a group/collective entity responsible for actions and decisions; fits plural/collective usage.
plural</t>
  </si>
  <si>
    <t>ma_era_2140843</t>
  </si>
  <si>
    <t>[603, 607]</t>
  </si>
  <si>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</si>
  <si>
    <t>https://www.reddit.com/r/singapore/comments/nqd3ej/has_singapore_stopped_following_science_on_covid19/h0a1noh/</t>
  </si>
  <si>
    <t>singapore</t>
  </si>
  <si>
    <t>MisoMesoMilo</t>
  </si>
  <si>
    <t>:seniorCitizen: Senior Citizen</t>
  </si>
  <si>
    <t>CONTEXT_ACCESSED: no
CONTEXT_REASON: n/a
Antecedent of “%them%” is “the govt,” a collective/group noun; treated as plural in this usage. plural</t>
  </si>
  <si>
    <t>ma_era_2142683</t>
  </si>
  <si>
    <t>[130, 134]</t>
  </si>
  <si>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</si>
  <si>
    <t>https://www.reddit.com/r/photography/comments/nq6ou9/shot_a_house_last_week_realtor_said_it_was_too/h0a1tvr/</t>
  </si>
  <si>
    <t>photography</t>
  </si>
  <si>
    <t>GueroBear</t>
  </si>
  <si>
    <t>CONTEXT_ACCESSED: no
CONTEXT_REASON: n/a
Antecedent: “the realtor” as a role in a hypothetical scenario. It’s grammatically singular and non-specific, making “they” a generic singular referring to any experienced realtor in that situation. generic</t>
  </si>
  <si>
    <t>ma_era_216282</t>
  </si>
  <si>
    <t>[207, 211]</t>
  </si>
  <si>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</si>
  <si>
    <t>https://www.reddit.com/r/SSBM/comments/dbejw1/how_to_think_during_gameplay/f22vyhq/</t>
  </si>
  <si>
    <t>SSBM</t>
  </si>
  <si>
    <t>Zubat_Man</t>
  </si>
  <si>
    <t>CONTEXT_ACCESSED: no
CONTEXT_REASON: n/a
Referent: an unspecified opponent in a hypothetical gameplay scenario (not a specific individual). This is grammatically singular, non-referential “they.” generic</t>
  </si>
  <si>
    <t>ma_era_2165880</t>
  </si>
  <si>
    <t>[4172, 4177]</t>
  </si>
  <si>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</si>
  <si>
    <t>https://www.reddit.com/r/dndnext/comments/npkppy/whats_your_favorite_simple_melee_weapon/h0a3wjx/</t>
  </si>
  <si>
    <t>dndnext</t>
  </si>
  <si>
    <t>Antikas-Karios</t>
  </si>
  <si>
    <t>CONTEXT_ACCESSED: no
CONTEXT_REASON: n/a
Referent of %their% is “The Phalangite,” a single but non-specific individual used to represent a type of person; grammatically singular and generic usage. generic</t>
  </si>
  <si>
    <t>ma_era_2170020</t>
  </si>
  <si>
    <t>[10, 14]</t>
  </si>
  <si>
    <t>Typically they die just the once.</t>
  </si>
  <si>
    <t>https://www.reddit.com/r/unitedkingdom/comments/npw3fw/covid_zero_daily_deaths_announced_in_uk_for_first/h0a49yr/</t>
  </si>
  <si>
    <t>MikeOxbigger</t>
  </si>
  <si>
    <t>CONTEXT_ACCESSED: no
CONTEXT_REASON: n/a
Refers to a non-specific person in a general statement about humans dying once; singular they used generically. generic</t>
  </si>
  <si>
    <t>ma_era_2217680</t>
  </si>
  <si>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</si>
  <si>
    <t>https://www.reddit.com/r/gwent/comments/nq9690/noob_question/h0a8md4/</t>
  </si>
  <si>
    <t>gwent</t>
  </si>
  <si>
    <t>supersonic_bat</t>
  </si>
  <si>
    <t>:whoreson_jr: Heheh. Slow, ain't ya?</t>
  </si>
  <si>
    <t>CONTEXT_ACCESSED: no
CONTEXT_REASON: n/a
Antecedent is “players who are trying to complete…,” which is a plural NP; “they” refers to those players collectively, so it’s plural. plural</t>
  </si>
  <si>
    <t>ma_era_2294337</t>
  </si>
  <si>
    <t>[8, 12]</t>
  </si>
  <si>
    <t>Because they are using US tax funded infrastructure to produce their movie? Taxes are supposed to be for infrastructure upkeep, you use public infrastructure you pay taxes. Easy as that.</t>
  </si>
  <si>
    <t>https://www.reddit.com/r/movies/comments/npzll3/spongebob_and_transformers_age_of_extinction_cost/h0afjex/</t>
  </si>
  <si>
    <t>movies</t>
  </si>
  <si>
    <t>SlingDNM</t>
  </si>
  <si>
    <t>CONTEXT_ACCESSED: yes
CONTEXT_REASON: Needed to identify the antecedent in the Reddit thread
"They" refers to the film studio/companies producing the movie (a collective entity), thus a plural referent. plural</t>
  </si>
  <si>
    <t>ma_era_232684</t>
  </si>
  <si>
    <t>[459, 469]</t>
  </si>
  <si>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</si>
  <si>
    <t>https://www.reddit.com/r/MurderedByWords/comments/dbjnl2/some_white_people_forget_that_theyre_living_on/f22xhyn/</t>
  </si>
  <si>
    <t>MurderedByWords</t>
  </si>
  <si>
    <t>GaiusGracchus121</t>
  </si>
  <si>
    <t>themselves.</t>
  </si>
  <si>
    <t>CONTEXT_ACCESSED: no
CONTEXT_REASON: n/a
Antecedent is “this person” (a single, specific individual). “Themselves” is the reflexive form of singular they referring back to that one person. Thus it’s singular. singular</t>
  </si>
  <si>
    <t>ma_era_2358462</t>
  </si>
  <si>
    <t>[71, 75]</t>
  </si>
  <si>
    <t>Coutinho, Bâle are examples of the other way. Team wants to get rid of them, but their salaries are too high so they just keep loaning them out.
It's a two way street</t>
  </si>
  <si>
    <t>https://www.reddit.com/r/soccer/comments/nq5ob0/de_la_morena_a_real_madrid_player_told_the_club/h0aldnx/</t>
  </si>
  <si>
    <t>soccer</t>
  </si>
  <si>
    <t>Serinanda</t>
  </si>
  <si>
    <t>:r_soccer_user:</t>
  </si>
  <si>
    <t>them,</t>
  </si>
  <si>
    <t>CONTEXT_ACCESSED: no
CONTEXT_REASON: n/a
'them' refers to Coutinho and Bale—two specific players—so the pronoun is plural. plural</t>
  </si>
  <si>
    <t>ma_era_236186</t>
  </si>
  <si>
    <t>[177, 181]</t>
  </si>
  <si>
    <t>I still don’t get it, I think you’re misunderstanding how omen machine works. When they exile that top card, it’s during their own draw step, on their turn. So Dosan won’t stop them from casting that spell they exile.</t>
  </si>
  <si>
    <t>https://www.reddit.com/r/EDH/comments/d6hzyt/mono_green_control_is_it_possible/f22xt07/</t>
  </si>
  <si>
    <t>EDH</t>
  </si>
  <si>
    <t>buyacanary</t>
  </si>
  <si>
    <t>CONTEXT_ACCESSED: no
CONTEXT_REASON: n/a
Refers to a single, unspecified player in a hypothetical rules explanation (the active player who exiles/casts the card); grammatically singular, non-specific use. generic</t>
  </si>
  <si>
    <t>ma_era_237090</t>
  </si>
  <si>
    <t>[308, 312]</t>
  </si>
  <si>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</si>
  <si>
    <t>https://www.reddit.com/r/funny/comments/npg47i/the_shade_is_real/h05j2ei/</t>
  </si>
  <si>
    <t>funny</t>
  </si>
  <si>
    <t>Cyanomelas</t>
  </si>
  <si>
    <t>CONTEXT_ACCESSED: no
CONTEXT_REASON: n/a
Antecedent is McDonald’s/the franchises—a collective/company entity. Collective/group nouns take plural “they” in this framework. plural</t>
  </si>
  <si>
    <t>ma_era_238935</t>
  </si>
  <si>
    <t>[203, 208]</t>
  </si>
  <si>
    <t>Thousand bucks a month free and clear sounds like a pretty sweet social safety net. No reports, no qualifications, no inspections.
And seeing as how everyone gets to choose if they want the thousand or their current welfare I don't see how anyone loses out.</t>
  </si>
  <si>
    <t>https://www.reddit.com/r/PresidentialRaceMemes/comments/dbm1qf/vote_blue_no_matter_who1/f22y1ro/</t>
  </si>
  <si>
    <t>PresidentialRaceMemes</t>
  </si>
  <si>
    <t>ThorVonHammerdong</t>
  </si>
  <si>
    <t>CONTEXT_ACCESSED: no
CONTEXT_REASON: n/a
Antecedent is “everyone,” a notionally plural quantifier; “their current welfare” distributes over each person. Therefore this is plural. plural</t>
  </si>
  <si>
    <t>ma_era_2479209</t>
  </si>
  <si>
    <t>[48, 52]</t>
  </si>
  <si>
    <t>Mouten x Ouhon is ultimate ship!! Shin can join them but he’s better w Kyoukai anyways so...</t>
  </si>
  <si>
    <t>https://www.reddit.com/r/Kingdom/comments/mmf1iw/so_i_see_a_lot_of_arguments_about_shipping_shin/h0awcj1/</t>
  </si>
  <si>
    <t>Kingdom</t>
  </si>
  <si>
    <t>Yukki9295</t>
  </si>
  <si>
    <t>CONTEXT_ACCESSED: no
CONTEXT_REASON: n/a
%them% refers to the pair “Mouten x Ouhon,” i.e., two specific people as a couple; thus it’s a straightforward plural reference. plural</t>
  </si>
  <si>
    <t>ma_era_251924</t>
  </si>
  <si>
    <t>I think  they have a new site up, they all should just go there and be done with it.</t>
  </si>
  <si>
    <t>https://www.reddit.com/r/PurplePillDebate/comments/dblc0d/thoughts_on_rtheredpill_closing/f22z8c0/</t>
  </si>
  <si>
    <t>PurplePillDebate</t>
  </si>
  <si>
    <t>purplepilltiming</t>
  </si>
  <si>
    <t>Purple Pill Man</t>
  </si>
  <si>
    <t>CONTEXT_ACCESSED: no
CONTEXT_REASON: n/a
Antecedent is a group (“they have a new site up”); the phrase “they all” makes it explicitly refer to multiple people. plural</t>
  </si>
  <si>
    <t>ma_era_258817</t>
  </si>
  <si>
    <t>[362, 366]</t>
  </si>
  <si>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</si>
  <si>
    <t>https://www.reddit.com/r/magicTCG/comments/npjkxc/scryfall_front_page_cards_are_members_of_the_lgbt/h05l0on/</t>
  </si>
  <si>
    <t>magicTCG</t>
  </si>
  <si>
    <t>kitsovereign</t>
  </si>
  <si>
    <t>CONTEXT_ACCESSED: yes
CONTEXT_REASON: Verified the antecedent in the linked Reddit comment.
Antecedent is “somebody on Twitter” (a specific but gender-unknown individual) who anonymized the Wizards person; thus a specific singular referent. singular</t>
  </si>
  <si>
    <t>ma_era_2632821</t>
  </si>
  <si>
    <t>[337, 341]</t>
  </si>
  <si>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</si>
  <si>
    <t>https://www.reddit.com/r/news/comments/nq6mit/us_suspends_all_oil_gas_leases_in_arctic_national/h0b95ac/</t>
  </si>
  <si>
    <t>news</t>
  </si>
  <si>
    <t>Squire_II</t>
  </si>
  <si>
    <t>CONTEXT_ACCESSED: no
CONTEXT_REASON: n/a
Antecedent is Teddy Roosevelt and Eisenhower (two Presidents) mentioned immediately before; %they% refers to both together, so it’s specific and plural. plural</t>
  </si>
  <si>
    <t>ma_era_2662955</t>
  </si>
  <si>
    <t>[221, 225]</t>
  </si>
  <si>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</si>
  <si>
    <t>https://www.reddit.com/r/WegobuyOfficial/comments/nqkbx0/long_term_terrible_customer_service/h0bbn70/</t>
  </si>
  <si>
    <t>WegobuyOfficial</t>
  </si>
  <si>
    <t>kevinccce</t>
  </si>
  <si>
    <t>CONTEXT_ACCESSED: no
CONTEXT_REASON: n/a
"they" refers to "umkao," a seller/company; company names are collective/group nouns and commonly take plural agreement in such contexts. Therefore it’s plural.</t>
  </si>
  <si>
    <t>ma_era_267778</t>
  </si>
  <si>
    <t>[828, 832]</t>
  </si>
  <si>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</si>
  <si>
    <t>https://www.reddit.com/r/Drama/comments/dbfypg/rbraincels_is_banned/f230lo7/</t>
  </si>
  <si>
    <t>Drama</t>
  </si>
  <si>
    <t>snallygaster</t>
  </si>
  <si>
    <t>:snally:</t>
  </si>
  <si>
    <t>CONTEXT_ACCESSED: yes
CONTEXT_REASON: Verify the antecedent in the linked Reddit comment to disambiguate the pronoun
Referent: an inexperienced person/virgin in a hypothetical scenario (from “those who are virgins…” and “an inexperienced partner”), not a specific individual.
Usage: grammatically singular, non-specific, applying to anyone fitting the type (“their partner is repulsed… by them”). generic</t>
  </si>
  <si>
    <t>ma_era_2720841</t>
  </si>
  <si>
    <t>[1228, 1232]</t>
  </si>
  <si>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</si>
  <si>
    <t>https://www.reddit.com/r/walkaway/comments/nq6bn2/this_seems_like_a_rational_solution/h0bgdvb/</t>
  </si>
  <si>
    <t>walkaway</t>
  </si>
  <si>
    <t>Alfoldio</t>
  </si>
  <si>
    <t>CONTEXT_ACCESSED: no
CONTEXT_REASON: n/a
Referent: “someone” in the phrase “how someone identifies…what team they play on.” It’s a non-specific, hypothetical individual; grammatically singular but generic usage. generic</t>
  </si>
  <si>
    <t>ma_era_2915877</t>
  </si>
  <si>
    <t>[61, 65]</t>
  </si>
  <si>
    <t>Xiao with pointy ears is a must!!!! I never draw him without them!</t>
  </si>
  <si>
    <t>https://www.reddit.com/r/GenshinGays/comments/nq698j/i_gave_xiao_pointy_ears_cus_why_jot/h0bvy6l/</t>
  </si>
  <si>
    <t>GenshinGays</t>
  </si>
  <si>
    <t>conspicuous_jar</t>
  </si>
  <si>
    <t>them!</t>
  </si>
  <si>
    <t>CONTEXT_ACCESSED: no
CONTEXT_REASON: n/a
Reasoning: “them” refers to “pointy ears” (a plural noun), not a person; thus it’s straightforwardly plural agreement with “ears.” plural</t>
  </si>
  <si>
    <t>ma_era_2971309</t>
  </si>
  <si>
    <t>[1233, 1238]</t>
  </si>
  <si>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</si>
  <si>
    <t>https://www.reddit.com/r/linux_gaming/comments/nqdiv9/how_to_get_into_linux_gaming/h0c0pv4/</t>
  </si>
  <si>
    <t>linux_gaming</t>
  </si>
  <si>
    <t>Yikezy</t>
  </si>
  <si>
    <t>CONTEXT_ACCESSED: no
CONTEXT_REASON: n/a
'their' refers to Steam (a company/organization) having a gaming version of Wine (Proton); company names take they/their as collective subjects, so this is plural. plural</t>
  </si>
  <si>
    <t>ma_era_298702</t>
  </si>
  <si>
    <t>[28, 33]</t>
  </si>
  <si>
    <t>They were shaking more than their fingers.</t>
  </si>
  <si>
    <t>https://www.reddit.com/r/90dayfianceuncensored/comments/db4xsu/avery_is_really_not_understanding_that_shes_a/f233do3/</t>
  </si>
  <si>
    <t>90dayfianceuncensored</t>
  </si>
  <si>
    <t>churrochurrochurro</t>
  </si>
  <si>
    <t>chuka zood</t>
  </si>
  <si>
    <t>CONTEXT_ACCESSED: no
CONTEXT_REASON: n/a
Reasoning: “their” is a possessive determiner referring back to the subject “They,” which is plural here; no sign of generic or singular use. plural</t>
  </si>
  <si>
    <t>ma_era_301689</t>
  </si>
  <si>
    <t>[233, 237]</t>
  </si>
  <si>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</si>
  <si>
    <t>https://www.reddit.com/r/dating_advice/comments/dbmp93/should_you_really_be_dating_multiple_people_at/f233mhc/</t>
  </si>
  <si>
    <t>dating_advice</t>
  </si>
  <si>
    <t>ironicol</t>
  </si>
  <si>
    <t>CONTEXT_ACCESSED: no
CONTEXT_REASON: n/a
“Them” refers to the multiple other people the speaker might date simultaneously; it’s a straightforward referential plural. plural</t>
  </si>
  <si>
    <t>ma_era_3053292</t>
  </si>
  <si>
    <t>[38, 42]</t>
  </si>
  <si>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</si>
  <si>
    <t>https://www.reddit.com/r/legaladvice/comments/nqr3d2/needing_advice_would_this_be_considered_medical/h0c7egw/</t>
  </si>
  <si>
    <t>legaladvice</t>
  </si>
  <si>
    <t>Effective_Smile_218</t>
  </si>
  <si>
    <t>CONTEXT_ACCESSED: yes
CONTEXT_REASON: Disambiguate the referent in the linked Reddit thread
“They” refers to the specific patient described by the OP (a single, definite person with unspecified gender), so it’s singular. singular</t>
  </si>
  <si>
    <t>ma_era_312901</t>
  </si>
  <si>
    <t>I also wondered if when people say “first try” they mean, they didn’t have a loss before hand? 
But yes, still annoying! I HATE when people say that.</t>
  </si>
  <si>
    <t>https://www.reddit.com/r/TryingForABaby/comments/dbheof/general_chat_september_30_pm/f234lwq/</t>
  </si>
  <si>
    <t>TryingForABaby</t>
  </si>
  <si>
    <t>mckazzi--</t>
  </si>
  <si>
    <t>30 | TTC#2 | Cycle 10</t>
  </si>
  <si>
    <t>CONTEXT_ACCESSED: no
CONTEXT_REASON: n/a
%they% refers back to “people” (the speakers who say “first try”), so it’s a plural reference to those speakers collectively. plural</t>
  </si>
  <si>
    <t>ma_era_3180432</t>
  </si>
  <si>
    <t>[18, 22]</t>
  </si>
  <si>
    <t>Someone recommend them Twilight. 
I’m sure they will find that plot in Breaking Dawn Part 2.</t>
  </si>
  <si>
    <t>https://www.reddit.com/r/AttackOnRetards/comments/nqsb9s/the_oneofakind_eh_dynamic_yall_agree/h0chpf8/</t>
  </si>
  <si>
    <t>AttackOnRetards</t>
  </si>
  <si>
    <t>Grouchy-Cloud-1694</t>
  </si>
  <si>
    <t xml:space="preserve">Time Loop Theory Enjoyer </t>
  </si>
  <si>
    <t>CONTEXT_ACCESSED: no
CONTEXT_REASON: n/a
Referent of %them% is a specific individual previously mentioned/understood; the imperative asks others to recommend Twilight to that one person. This is specific, grammatically singular “they.” singular</t>
  </si>
  <si>
    <t>ma_era_320085</t>
  </si>
  <si>
    <t>[364, 368]</t>
  </si>
  <si>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</si>
  <si>
    <t>https://www.reddit.com/r/xmen/comments/dbnu60/house_of_x_6_spoilers/f2357z3/</t>
  </si>
  <si>
    <t>xmen</t>
  </si>
  <si>
    <t>seanduffy88</t>
  </si>
  <si>
    <t>CONTEXT_ACCESSED: no
CONTEXT_REASON: n/a
Referent: Jean and Emma (“they both smile” confirms the pair). It denotes two specific people acting together, so the form is plural. plural</t>
  </si>
  <si>
    <t>ma_era_3218316</t>
  </si>
  <si>
    <t>IIRC one of them kicked the bucket.</t>
  </si>
  <si>
    <t>https://www.reddit.com/r/politics/comments/nqsfjf/senate_opponents_of_democracy_reform_were_elected/h0ckudq/</t>
  </si>
  <si>
    <t>politics</t>
  </si>
  <si>
    <t>MLJ9999</t>
  </si>
  <si>
    <t>CONTEXT_ACCESSED: no
CONTEXT_REASON: n/a
In "one of %them%," the pronoun "them" refers to a previously mentioned plural group; the phrase selects a single member from that group but the pronoun itself is anchored to a plural antecedent. plural</t>
  </si>
  <si>
    <t>ma_era_3509532</t>
  </si>
  <si>
    <t>[3, 7]</t>
  </si>
  <si>
    <t>Do they have an IRC channel? My seedbox website had an issue where it was down for a few months and the only way to contact was email or for more instant responses IRC</t>
  </si>
  <si>
    <t>https://www.reddit.com/r/Piracy/comments/nqx66n/anyone_know_whats_going_on_with_snahp/h0d94zz/</t>
  </si>
  <si>
    <t>Piracy</t>
  </si>
  <si>
    <t>AznSzmeCk</t>
  </si>
  <si>
    <t>CONTEXT_ACCESSED: no
CONTEXT_REASON: n/a
Reasoning: Here, "they" refers to the people/organization behind a website/service (a collective/group noun). In this scheme, that counts as plural. plural</t>
  </si>
  <si>
    <t>ma_era_354280</t>
  </si>
  <si>
    <t>[140, 144]</t>
  </si>
  <si>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</si>
  <si>
    <t>https://www.reddit.com/r/marvelstudios/comments/dblnu2/a_panel_from_avengers_forever_3_1999_in_endgame/f2383ep/</t>
  </si>
  <si>
    <t>marvelstudios</t>
  </si>
  <si>
    <t>yuvi3000</t>
  </si>
  <si>
    <t>Drax</t>
  </si>
  <si>
    <t>CONTEXT_ACCESSED: no
CONTEXT_REASON: n/a
Antecedent is “someone,” an indefinite, non-specific singular referent; %they% continues that hypothetical person usage. generic</t>
  </si>
  <si>
    <t>ma_era_3635281</t>
  </si>
  <si>
    <t>You might think of a re-sole + footbed for your old pair. They will still feel familiar to you and that way you have many more years of knocking around in them.</t>
  </si>
  <si>
    <t>https://www.reddit.com/r/Birkenstocks/comments/nqx2th/retiring_my_old_milanos/h0djrmc/</t>
  </si>
  <si>
    <t>Birkenstocks</t>
  </si>
  <si>
    <t>10MileHike</t>
  </si>
  <si>
    <t>CONTEXT_ACCESSED: no
CONTEXT_REASON: n/a
Antecedent: “your old pair” of shoes (the two shoes). Refers to the shoes as a plural set; not generic or singular. plural</t>
  </si>
  <si>
    <t>ma_era_3662782</t>
  </si>
  <si>
    <t>[23, 27]</t>
  </si>
  <si>
    <t>One of my friends said they would for sure join, and another said it would depend on what time they get home</t>
  </si>
  <si>
    <t>https://www.reddit.com/r/Fireteams/comments/nqxaqf/need_a_sherpa_and_some_friends_for_2_first_timers/h0dm41n/</t>
  </si>
  <si>
    <t>Fireteams</t>
  </si>
  <si>
    <t>DarkSoulsFTW54</t>
  </si>
  <si>
    <t>:xb: Xbox One</t>
  </si>
  <si>
    <t>CONTEXT_ACCESSED: no
CONTEXT_REASON: n/a
Antecedent of %they% is “one of my friends,” referring to a single, specific person whose gender isn’t specified; thus it’s singular usage. singular</t>
  </si>
  <si>
    <t>ma_era_3713798</t>
  </si>
  <si>
    <t>[226, 231]</t>
  </si>
  <si>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</si>
  <si>
    <t>https://www.reddit.com/r/tipofmytongue/comments/nr0igv/tomt_song_2010s_song_about_a_cocky_criminal_who/h0dqjpa/</t>
  </si>
  <si>
    <t>tipofmytongue</t>
  </si>
  <si>
    <t>tuniiaw</t>
  </si>
  <si>
    <t>CONTEXT_ACCESSED: no
CONTEXT_REASON: n/a
“Their” refers to Zachary Jack, a single specific person whose gender is not specified; thus it’s singular. singular</t>
  </si>
  <si>
    <t>ma_era_371723</t>
  </si>
  <si>
    <t>[396, 401]</t>
  </si>
  <si>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</si>
  <si>
    <t>https://www.reddit.com/r/AskLibertarians/comments/dbn7my/for_you_left_libertarians/f239jn0/</t>
  </si>
  <si>
    <t>AskLibertarians</t>
  </si>
  <si>
    <t>norisknogain</t>
  </si>
  <si>
    <t>CONTEXT_ACCESSED: no
CONTEXT_REASON: n/a
Antecedent: “the most rugged of individualists” — a hypothetical, non-specific person. “Their” refers back to this generic singular subject. Therefore it’s grammatically singular but non-referential. generic</t>
  </si>
  <si>
    <t>ma_era_3816453</t>
  </si>
  <si>
    <t>[109, 113]</t>
  </si>
  <si>
    <t>Yes, but it can be difficult to get someone to trust you and pay you before getting the title signed over to them</t>
  </si>
  <si>
    <t>https://www.reddit.com/r/legaladviceofftopic/comments/nr1l9u/ca_could_i_sell_a_car_if_i_have_an_active_car/h0dzpue/</t>
  </si>
  <si>
    <t>legaladviceofftopic</t>
  </si>
  <si>
    <t>bcp38</t>
  </si>
  <si>
    <t>CONTEXT_ACCESSED: no
CONTEXT_REASON: n/a
'them' refers back to "someone," a single but unspecified person to whom the title would be signed over; this is specific-singular, gender-neutral usage. singular</t>
  </si>
  <si>
    <t>ma_era_3864019</t>
  </si>
  <si>
    <t>I think you're being downvoted because it's a year old and no one cares about giving credit. They just want good meals/recipes to make.</t>
  </si>
  <si>
    <t>https://www.reddit.com/r/ketorecipes/comments/nqm8m0/ultra_crispy_parmesan_crusted_chicken/h0e482i/</t>
  </si>
  <si>
    <t>ketorecipes</t>
  </si>
  <si>
    <t>Cinderkin</t>
  </si>
  <si>
    <t>CONTEXT_ACCESSED: no
CONTEXT_REASON: n/a
'They' refers to the people (readers/downvoters/users) on the platform who want recipes, i.e., a group of individuals; impersonal plural reference. plural</t>
  </si>
  <si>
    <t>ma_era_3930115</t>
  </si>
  <si>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</si>
  <si>
    <t>https://www.reddit.com/r/talesfromcallcenters/comments/nqq8tk/yeah_you_can_pay_12_but_just_so_you_know_we_have/h0eaaqv/</t>
  </si>
  <si>
    <t>talesfromcallcenters</t>
  </si>
  <si>
    <t>stringfree</t>
  </si>
  <si>
    <t>CONTEXT_ACCESSED: no
CONTEXT_REASON: n/a
"They" refers back to "anyone" (a non-specific hypothetical person). This is singular in form and non-referential, matching generic singular they. generic</t>
  </si>
  <si>
    <t>ma_era_3964481</t>
  </si>
  <si>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</si>
  <si>
    <t>https://www.reddit.com/r/Komi_san/comments/nr39gh/chapter_306_english_catmanga/h0edd4l/</t>
  </si>
  <si>
    <t>Komi_san</t>
  </si>
  <si>
    <t>Thatguy33321</t>
  </si>
  <si>
    <t>CONTEXT_ACCESSED: no
CONTEXT_REASON: n/a
Antecedent of “their” is Najimi, a specific individual. The pronoun hides gender but clearly refers to one known person, so it’s singular. singular</t>
  </si>
  <si>
    <t>ma_era_39890</t>
  </si>
  <si>
    <t>[851, 855]</t>
  </si>
  <si>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</si>
  <si>
    <t>https://www.reddit.com/r/ynab/comments/npe4hz/pet_insurance/h051f47/</t>
  </si>
  <si>
    <t>ynab</t>
  </si>
  <si>
    <t>badtranslatedgerman</t>
  </si>
  <si>
    <t>CONTEXT_ACCESSED: no
CONTEXT_REASON: n/a
Antecedent of %them% is “your pet” (a single animal owned by the addressee). It refers to one specific pet with unknown gender, so it’s a specific singular referent. singular</t>
  </si>
  <si>
    <t>ma_era_4327880</t>
  </si>
  <si>
    <t>[286, 290]</t>
  </si>
  <si>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</si>
  <si>
    <t>https://www.reddit.com/r/abandoned/comments/nqvjc8/abandoned_for_over_a_decade_and_hidden_away_deep/h0fbiu7/</t>
  </si>
  <si>
    <t>abandoned</t>
  </si>
  <si>
    <t>CONTEXT_ACCESSED: no
CONTEXT_REASON: n/a
Antecedent of %them% is “an urbexer” (a single, specific explorer); gender unspecified but clearly one person. Therefore, singular</t>
  </si>
  <si>
    <t>ma_era_4376082</t>
  </si>
  <si>
    <t>[154, 159]</t>
  </si>
  <si>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</si>
  <si>
    <t>https://www.reddit.com/r/politics/comments/nr25ff/texas_valedictorian_goes_viral_after_giving/h0fg0d8/</t>
  </si>
  <si>
    <t>totokekedile</t>
  </si>
  <si>
    <t>CONTEXT_ACCESSED: no
CONTEXT_REASON: n/a
Antecedent is “no one,” which your scheme classifies as notionally plural; “their” refers back to that set. Hence, plural. plural</t>
  </si>
  <si>
    <t>ma_era_4636463</t>
  </si>
  <si>
    <t>They posted a video of themselves driving on r/idiotsincars ?</t>
  </si>
  <si>
    <t>https://www.reddit.com/r/IdiotsInCars/comments/nrf1fe/the_video_of_that_rimac_car_going_full_rtard_fast/h0g2o9z/</t>
  </si>
  <si>
    <t>IdiotsInCars</t>
  </si>
  <si>
    <t>kcasnar</t>
  </si>
  <si>
    <t>CONTEXT_ACCESSED: no
CONTEXT_REASON: n/a
Refers to a specific poster/user (one person) whose gender is unknown; “themselves” is singular-reflexive here. singular</t>
  </si>
  <si>
    <t>ma_era_4688103</t>
  </si>
  <si>
    <t>[124, 129]</t>
  </si>
  <si>
    <t>So many of my friends are terrified of sex too and it’s partially because their moms basically say it’s not fun...so either their sex life sucks or they are intentionally scaring them into not having sex. 🙃</t>
  </si>
  <si>
    <t>https://www.reddit.com/r/FundieSnarkUncensored/comments/nr500e/purity_rings_and_how_i_lost_mine_in_a_chickfila/h0g6z8s/</t>
  </si>
  <si>
    <t>FundieSnarkUncensored</t>
  </si>
  <si>
    <t>moonwalkinginlowes</t>
  </si>
  <si>
    <t>First Whackadoo in the Chickfila Bathroom</t>
  </si>
  <si>
    <t>CONTEXT_ACCESSED: no
CONTEXT_REASON: n/a
Antecedent: “their moms.” In “either %their% sex life sucks,” the possessive “their” refers back to the moms (a plural group), not a single person. Therefore it’s plural. plural</t>
  </si>
  <si>
    <t>ma_era_4910927</t>
  </si>
  <si>
    <t>[65, 69]</t>
  </si>
  <si>
    <t>Guess I'm racist then lol. Words lose their power when you throw them around at anyone who disagrees with you. Ill wear that badge with a smile on my face while grandma passes the mashed potatoes this thanksgiving.</t>
  </si>
  <si>
    <t>https://www.reddit.com/r/PublicFreakout/comments/nrbwaa/52yrold_tampa_teacher_audrey_southardrumsey_runs/h0gos0d/</t>
  </si>
  <si>
    <t>CONTEXT_ACCESSED: no
CONTEXT_REASON: n/a
Antecedent is “words” (explicit plural noun): “throw them around” = throw the words around. Therefore the pronoun is plural. plural</t>
  </si>
  <si>
    <t>ma_era_5037151</t>
  </si>
  <si>
    <t>&amp;gt; before OP turned their son against them.
How did OP turn their son against them, exactly?</t>
  </si>
  <si>
    <t>https://www.reddit.com/r/AmItheAsshole/comments/nrbzof/aita_for_refusing_to_do_christian_wedding/h0gz6ek/</t>
  </si>
  <si>
    <t>nexted</t>
  </si>
  <si>
    <t>CONTEXT_ACCESSED: yes
CONTEXT_REASON: Disambiguate who "them" refers to in the Reddit thread.
In this comment, them refers to the fiancé’s parents/family (a specific plural group). ([reddit.com](https://www.reddit.com/r/AmItheAsshole/comments/nrbzof/aita_for_refusing_to_do_christian_wedding/h0gz6ek/))
plural</t>
  </si>
  <si>
    <t>ma_era_5065533</t>
  </si>
  <si>
    <t>THEY ARE SO CUTE!! Absolutely adore how you drew them!! &amp;lt;3</t>
  </si>
  <si>
    <t>https://www.reddit.com/r/DnDart/comments/nrgffm/for_hire_merfolk_illustration_i_drew_for_a/h0h1i64/</t>
  </si>
  <si>
    <t>DnDart</t>
  </si>
  <si>
    <t>dork-princess</t>
  </si>
  <si>
    <t xml:space="preserve">THEY </t>
  </si>
  <si>
    <t>CONTEXT_ACCESSED: yes
CONTEXT_REASON: To see what the Reddit comment refers to and whether multiple characters are depicted
Referent: the merfolk shown in the illustration (treated as multiple individuals in the thread). Therefore %THEY% refers to multiple depicted characters. plural</t>
  </si>
  <si>
    <t>ma_era_5279959</t>
  </si>
  <si>
    <t>[170, 175]</t>
  </si>
  <si>
    <t>Wasn't the Renault Espace with an F1 engine featured in GT2? I'd like to see more cars with interesting quirks. Also, the benz patent motorwagen and the Ford Model T for their historical significance.</t>
  </si>
  <si>
    <t>https://www.reddit.com/r/granturismo/comments/nra55u/why_there_is_no_renault_twingo_in_the_gran/h0hj79i/</t>
  </si>
  <si>
    <t>granturismo</t>
  </si>
  <si>
    <t>Green_Turtle_Shell</t>
  </si>
  <si>
    <t>:honda: Honda</t>
  </si>
  <si>
    <t>CONTEXT_ACCESSED: no
CONTEXT_REASON: n/a
"The benz patent motorwagen and the Ford Model T" are two cars; %their% refers to this pair, so it’s a straightforward plural reference. plural</t>
  </si>
  <si>
    <t>ma_era_5425126</t>
  </si>
  <si>
    <t>[2596, 2600]</t>
  </si>
  <si>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</si>
  <si>
    <t>https://www.reddit.com/r/AmItheAsshole/comments/nrfrbo/aita_for_rotating_out_a_friend_at_my_dinner/h0hvzet/</t>
  </si>
  <si>
    <t>doodlebobbin</t>
  </si>
  <si>
    <t>CONTEXT_ACCESSED: no
CONTEXT_REASON: n/a
Antecedent of “they” is OP (the original poster), a single specific person whose gender isn’t specified; thus it’s a gender-neutral singular use. singular</t>
  </si>
  <si>
    <t>ma_era_5432637</t>
  </si>
  <si>
    <t>[46, 50]</t>
  </si>
  <si>
    <t>You should describe what it was used for/what they were doing with it, or what you want to do with it, to help narrow it down.</t>
  </si>
  <si>
    <t>https://www.reddit.com/r/crafts/comments/nrgu1i/please_help_me_find_saw_this_being_used_in_a/h0hwlod/</t>
  </si>
  <si>
    <t>crafts</t>
  </si>
  <si>
    <t>filmnoter</t>
  </si>
  <si>
    <t>CONTEXT_ACCESSED: yes
CONTEXT_REASON: To verify who “they” refers to in the linked Reddit thread
“They” refers to the single (gender-unknown) video creator using the item in the craft video, so it’s a specific singular referent. singular</t>
  </si>
  <si>
    <t>ma_era_5444876</t>
  </si>
  <si>
    <t>[247, 252]</t>
  </si>
  <si>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</si>
  <si>
    <t>https://www.reddit.com/r/AskReddit/comments/nro43g/females_of_reddit_what_do_you_find_attractive_in/h0hxn7l/</t>
  </si>
  <si>
    <t>japanda0</t>
  </si>
  <si>
    <t>CONTEXT_ACCESSED: no
CONTEXT_REASON: n/a
"their" refers back to the generic singular "a parent" in "asking a parent," used non-specifically to mean any parent. Therefore it is grammatically singular and generic. generic</t>
  </si>
  <si>
    <t>ma_era_5528028</t>
  </si>
  <si>
    <t>[222, 227]</t>
  </si>
  <si>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</si>
  <si>
    <t>https://www.reddit.com/r/venting/comments/nrp0ic/please_help_me_saved_abused_children/h0i4noe/</t>
  </si>
  <si>
    <t>venting</t>
  </si>
  <si>
    <t>sprinkles008</t>
  </si>
  <si>
    <t>CONTEXT_ACCESSED: no
CONTEXT_REASON: n/a
Referent: “their” refers to the local CPS office (an organization/collective) whose phone number you’d look up. Collective entity takes plural “they/their” in English. plural</t>
  </si>
  <si>
    <t>ma_era_5532654</t>
  </si>
  <si>
    <t>[205, 209]</t>
  </si>
  <si>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</si>
  <si>
    <t>https://www.reddit.com/r/CreditCards/comments/nrqfro/i_know_i_just_opened_a_new_card_but_i_like/h0i51iq/</t>
  </si>
  <si>
    <t>CreditCards</t>
  </si>
  <si>
    <t>D_zee315</t>
  </si>
  <si>
    <t>CONTEXT_ACCESSED: no
CONTEXT_REASON: n/a
Antecedent: “they” refers to Chase (the company), as indicated by “with Chase” and “account with them.” Company names are treated as collective/group nouns taking plural they here. plural</t>
  </si>
  <si>
    <t>ma_era_5556478</t>
  </si>
  <si>
    <t>[127, 132]</t>
  </si>
  <si>
    <t>Sex is a denomination of chromosomes/genitalia. Can a person born with xx "feel" as if they have xy? Or do they feel as though their gender (ie sex stereotypes) aligns more with the stereotypes of the opposite sex?</t>
  </si>
  <si>
    <t>https://www.reddit.com/r/AskFeminists/comments/nrcyxa/can_someone_explain_why_transracial_is_wrong_and/h0i75be/</t>
  </si>
  <si>
    <t>AskFeminists</t>
  </si>
  <si>
    <t>marykatiepants</t>
  </si>
  <si>
    <t>CONTEXT_ACCESSED: no
CONTEXT_REASON: n/a
Antecedent: “a person born with xx” (a hypothetical, non-specific individual). “Their” refers back to this generic person in a general statement, so it’s grammatically singular but non-referential. generic</t>
  </si>
  <si>
    <t>ma_era_5578955</t>
  </si>
  <si>
    <t>[208, 212]</t>
  </si>
  <si>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</si>
  <si>
    <t>https://www.reddit.com/r/CVS/comments/nrrix3/confused_with_my_pharmacy_technician_job_offer/h0i951p/</t>
  </si>
  <si>
    <t>CVS</t>
  </si>
  <si>
    <t>ThereYouGoAgain_</t>
  </si>
  <si>
    <t>CONTEXT_ACCESSED: no
CONTEXT_REASON: n/a
Referent: the PIC (pharmacy manager), a specific individual mentioned immediately before. “They” stands for that single person who would make the hiring decision. singular</t>
  </si>
  <si>
    <t>ma_era_5581297</t>
  </si>
  <si>
    <t>[157, 162]</t>
  </si>
  <si>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</si>
  <si>
    <t>https://www.reddit.com/r/ToiletPaperUSA/comments/nrkr46/i_fucking_love_liberty_hangout/h0i9cpd/</t>
  </si>
  <si>
    <t>ToiletPaperUSA</t>
  </si>
  <si>
    <t>ToastLord78</t>
  </si>
  <si>
    <t>CONTEXT_ACCESSED: no
CONTEXT_REASON: n/a
Antecedent: “liberty hangout” (a group/organization). Using “their” for a collective/company name marks notional/collective plurality. Therefore, it’s plural.</t>
  </si>
  <si>
    <t>ma_era_5705672</t>
  </si>
  <si>
    <t>[57, 61]</t>
  </si>
  <si>
    <t>I checked it out and thought they only used Western, but they use Sidereal as well! Im so in love with the app, thank you for your recommendation 🥰</t>
  </si>
  <si>
    <t>https://www.reddit.com/r/AstrologyChartShare/comments/nrksdf/hi_everyone_i_was_just_wondering_if_theres/h0ikwuv/</t>
  </si>
  <si>
    <t>AstrologyChartShare</t>
  </si>
  <si>
    <t>andromedacosmicwhore</t>
  </si>
  <si>
    <t>CONTEXT_ACCESSED: no
CONTEXT_REASON: n/a
Referent: the app’s creators/company (an organization behind the app). Organizations take “they” in English, which fits the “collective/group nouns” category under plural. plural</t>
  </si>
  <si>
    <t>ma_era_5779672</t>
  </si>
  <si>
    <t>[40, 45]</t>
  </si>
  <si>
    <t>The way they shift between parentifying their kids when they have unmet emotional needs and then infantilizing their kids when they think they're losing parental authority to us is a special kind of gaslighting.</t>
  </si>
  <si>
    <t>https://www.reddit.com/r/EstrangedAdultChild/comments/nrlvpt/why_they_wont_leave_us_alone/h0is3pg/</t>
  </si>
  <si>
    <t>EstrangedAdultChild</t>
  </si>
  <si>
    <t>awkwardbabyseal</t>
  </si>
  <si>
    <t>CONTEXT_ACCESSED: no
CONTEXT_REASON: n/a
Antecedent: “they” refers to some parents (a plural group). “their kids” are the children of those parents. Possessive “their” here matches a plural referent. plural</t>
  </si>
  <si>
    <t>ma_era_5965049</t>
  </si>
  <si>
    <t>[169, 174]</t>
  </si>
  <si>
    <t>Is it made of glass?  I don't think I'd want my walls to be made of exposed glass.  Every time someone bumps a wall too hard, someone goes to the hospital with glass in their foot.</t>
  </si>
  <si>
    <t>https://www.reddit.com/r/interestingasfuck/comments/nrlobd/beer_bottles_shaped_to_be_interlocking/h0j9h9x/</t>
  </si>
  <si>
    <t>interestingasfuck</t>
  </si>
  <si>
    <t>cowlinator</t>
  </si>
  <si>
    <t>CONTEXT_ACCESSED: no
CONTEXT_REASON: n/a
'their' refers to the indefinite noun 'someone' in a general hypothetical; grammatically singular, non-specific usage. generic</t>
  </si>
  <si>
    <t>ma_era_6048534</t>
  </si>
  <si>
    <t>[14, 19]</t>
  </si>
  <si>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</si>
  <si>
    <t>https://www.reddit.com/r/mypartneristrans/comments/nryw8e/my_partner_just_had_ffs_and_i_feel_like_they/h0jh4zi/</t>
  </si>
  <si>
    <t>mypartneristrans</t>
  </si>
  <si>
    <t>Samalgam</t>
  </si>
  <si>
    <t>CONTEXT_ACCESSED: yes
CONTEXT_REASON: to confirm who “their” referred to in the original Reddit comment
“Their” in “report to their superiors” refers to the negligent medical staff (nurses/doctors) being discussed, i.e., multiple people; therefore it is plural. plural</t>
  </si>
  <si>
    <t>ma_era_6073367</t>
  </si>
  <si>
    <t>[194, 199]</t>
  </si>
  <si>
    <t>I was talking about if they're currently flying around the map. The game would just teleport you to the aetheryte closest to them. If they running around on the ground then it will bring you to their side.</t>
  </si>
  <si>
    <t>https://www.reddit.com/r/ffxiv/comments/nrxp6p/eternal_bonding_questions/h0jjeni/</t>
  </si>
  <si>
    <t>ffxiv</t>
  </si>
  <si>
    <t>CrimsonPromise</t>
  </si>
  <si>
    <t>CONTEXT_ACCESSED: no
CONTEXT_REASON: n/a
Refers to a specific other player (“them”) in the game whose location determines teleporting; a single, specific person with unspecified gender. singular</t>
  </si>
  <si>
    <t>ma_era_6154586</t>
  </si>
  <si>
    <t>[682, 686]</t>
  </si>
  <si>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</si>
  <si>
    <t>https://www.reddit.com/r/InstacartShoppers/comments/nrstm0/uthe6ixgirl_is_100_correct_we_need_to_tweet_and/h0jqqij/</t>
  </si>
  <si>
    <t>InstacartShoppers</t>
  </si>
  <si>
    <t>fantafanta_</t>
  </si>
  <si>
    <t>CONTEXT_ACCESSED: no
CONTEXT_REASON: n/a
%them% refers to the multiple orders within a multi-batch (“doing 2 or more orders … doing them separate”), so it denotes a plural noun referent. plural</t>
  </si>
  <si>
    <t>ma_era_6248408</t>
  </si>
  <si>
    <t>[64, 68]</t>
  </si>
  <si>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</si>
  <si>
    <t>https://www.reddit.com/r/Genshin_Impact/comments/nrauld/shouta_characters_when/h0jzfzc/</t>
  </si>
  <si>
    <t>Genshin_Impact</t>
  </si>
  <si>
    <t>HaukevonArding</t>
  </si>
  <si>
    <t>CONTEXT_ACCESSED: no
CONTEXT_REASON: n/a
Antecedent is the pair “mountain” and “iceberg”; %they% refers to these two items collectively (“two very different things”), so it’s plural. plural</t>
  </si>
  <si>
    <t>ma_era_6317180</t>
  </si>
  <si>
    <t>[49, 54]</t>
  </si>
  <si>
    <t>b44l has made the following comment(s) regarding their post:   
[Enjoy! I've personally always enjoyed the early le...](/r/UnearthedArcana/comments/ns3zb5/a_minimalistic_5e_ruleset_for_lowlevel_adventures/h0k62r8/)</t>
  </si>
  <si>
    <t>https://www.reddit.com/r/UnearthedArcana/comments/ns3zb5/a_minimalistic_5e_ruleset_for_lowlevel_adventures/h0k63kr/</t>
  </si>
  <si>
    <t>UnearthedArcana</t>
  </si>
  <si>
    <t>unearthedarcana_bot</t>
  </si>
  <si>
    <t>CONTEXT_ACCESSED: no
CONTEXT_REASON: n/a
Reasoning: “their” refers to the specific user b44l (the owner of the post), a single, specific person with unspecified gender; thus singular. singular</t>
  </si>
  <si>
    <t>ma_era_6352263</t>
  </si>
  <si>
    <t>[148, 152]</t>
  </si>
  <si>
    <t>After moass i need to make a collage of all this batshit crazy memes and put it in my office, to smile every single time i Will look up and look at them  
💕💕💕</t>
  </si>
  <si>
    <t>https://www.reddit.com/r/GME/comments/ns27d3/buy_hodl_vote_shop/h0k93ex/</t>
  </si>
  <si>
    <t>GME</t>
  </si>
  <si>
    <t>shadowbehinddoor</t>
  </si>
  <si>
    <t>CONTEXT_ACCESSED: no
CONTEXT_REASON: n/a
Antecedent is “memes,” a plural noun; “%them%” refers to those memes, so it’s plural. plural</t>
  </si>
  <si>
    <t>ma_era_6423224</t>
  </si>
  <si>
    <t>[190, 194]</t>
  </si>
  <si>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</si>
  <si>
    <t>https://www.reddit.com/r/SelfAwarewolves/comments/ns43mo/almost_aaaalmooooost_nope/h0kfa8p/</t>
  </si>
  <si>
    <t>SelfAwarewolves</t>
  </si>
  <si>
    <t>adamislolz</t>
  </si>
  <si>
    <t>They’</t>
  </si>
  <si>
    <t>CONTEXT_ACCESSED: no
CONTEXT_REASON: n/a
Antecedent is “This person,” a specific individual; %They% refers back to that single person with gender unspecified. Therefore it is singular. singular</t>
  </si>
  <si>
    <t>ma_era_6450877</t>
  </si>
  <si>
    <t>[198, 202]</t>
  </si>
  <si>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</si>
  <si>
    <t>https://www.reddit.com/r/dndnext/comments/nrzvt7/unpopular_opinion_you_dont_need_a_backstory_to/h0khl2j/</t>
  </si>
  <si>
    <t>IHateScumbags12345</t>
  </si>
  <si>
    <t>CONTEXT_ACCESSED: no
CONTEXT_REASON: n/a
Antecedent is “The player,” a grammatically singular, non-specific role in a general rule. The %they% refers back to that generic “player,” making it singular in form but generic in reference. generic</t>
  </si>
  <si>
    <t>ma_era_697590</t>
  </si>
  <si>
    <t>[646, 650]</t>
  </si>
  <si>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</si>
  <si>
    <t>https://www.reddit.com/r/AncestryDNA/comments/npolnr/hello_people_while_i_was_doing_my_family_tree_i/h06ofp4/</t>
  </si>
  <si>
    <t>AncestryDNA</t>
  </si>
  <si>
    <t>Rhinoramster10</t>
  </si>
  <si>
    <t>CONTEXT_ACCESSED: no
CONTEXT_REASON: n/a
Antecedent is “your ancestor” (a hypothetical single person). The pronoun is grammatically singular and used non-specifically to describe any such person, i.e., generic singular they. generic</t>
  </si>
  <si>
    <t>ma_era_7059286</t>
  </si>
  <si>
    <t>[95, 99]</t>
  </si>
  <si>
    <t>You can solo queue in BR. As for an all-solo mode, pretty sure Respawn said no to that because they want to build a game that's primarily squad-based. If you want lone-wolf shooters, there are plenty out there.</t>
  </si>
  <si>
    <t>https://www.reddit.com/r/apexlegends/comments/nsbwmh/players_actively_sabotaging_arenas_video_proof/h0lumxx/</t>
  </si>
  <si>
    <t>apexlegends</t>
  </si>
  <si>
    <t>random_interneter</t>
  </si>
  <si>
    <t>Fuse :Fuse:</t>
  </si>
  <si>
    <t>CONTEXT_ACCESSED: no
CONTEXT_REASON: n/a
“they” refers to Respawn (the game developer/company), a collective entity; companies are treated as plural in this usage. plural</t>
  </si>
  <si>
    <t>ma_era_72333</t>
  </si>
  <si>
    <t>[74, 78]</t>
  </si>
  <si>
    <t>When I first saw the headline I was hoping it was a monthly subscription. They have some great films, but there's no way I can afford those rental and purchase prices.</t>
  </si>
  <si>
    <t>https://www.reddit.com/r/criterion/comments/dbh312/arthouse_distributor_kino_lorber_launches_film_tv/f22hnxm/</t>
  </si>
  <si>
    <t>criterion</t>
  </si>
  <si>
    <t>marysofthesea</t>
  </si>
  <si>
    <t>Krzysztof Kieslowski</t>
  </si>
  <si>
    <t>CONTEXT_ACCESSED: no
CONTEXT_REASON: n/a
"They" refers to the company/distributor (a collective entity). Company names are treated as collective nouns here, so this is plural. plural</t>
  </si>
  <si>
    <t>ma_era_724861</t>
  </si>
  <si>
    <t>[524, 529]</t>
  </si>
  <si>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</si>
  <si>
    <t>https://www.reddit.com/r/MaliciousCompliance/comments/npnnwt/boss_says_i_dont_know_anything_yet_so_i_do_the/h06qszs/</t>
  </si>
  <si>
    <t>MaliciousCompliance</t>
  </si>
  <si>
    <t>jmkul</t>
  </si>
  <si>
    <t>CONTEXT_ACCESSED: no
CONTEXT_REASON: n/a
Referent: “a staff member” in a hypothetical example; grammatically singular and non-specific. Therefore, it’s singular they used generically. generic</t>
  </si>
  <si>
    <t>ma_era_7286298</t>
  </si>
  <si>
    <t>[129, 133]</t>
  </si>
  <si>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</si>
  <si>
    <t>https://www.reddit.com/r/unpopularopinion/comments/nrwnwc/casual_sex_and_one_night_stands_are_overrated_and/h0mdr6v/</t>
  </si>
  <si>
    <t>unpopularopinion</t>
  </si>
  <si>
    <t>TheOvy</t>
  </si>
  <si>
    <t>CONTEXT_ACCESSED: no
CONTEXT_REASON: n/a
Antecedent is “someone” (indefinite, non-specific). “They” refers to a hypothetical person being labeled/dismissed; grammatically singular but generic in reference. generic</t>
  </si>
  <si>
    <t>ma_era_73459</t>
  </si>
  <si>
    <t>[296, 300]</t>
  </si>
  <si>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</si>
  <si>
    <t>https://www.reddit.com/r/mbti/comments/dbk9a5/i_am_starting_to_believe_that_ni_doms_ie_infj/f22hsn6/</t>
  </si>
  <si>
    <t>mbti</t>
  </si>
  <si>
    <t>Y3ll0WM3ll0</t>
  </si>
  <si>
    <t>INFJ</t>
  </si>
  <si>
    <t>CONTEXT_ACCESSED: no
CONTEXT_REASON: n/a
"Them" refers to "someone" in a hypothetical scenario, a grammatically singular but non-specific person; therefore it is generic. generic</t>
  </si>
  <si>
    <t>ma_era_7373236</t>
  </si>
  <si>
    <t>[31, 35]</t>
  </si>
  <si>
    <t>It’s shortened from anonymous, they call themselves that on 4chan</t>
  </si>
  <si>
    <t>https://www.reddit.com/r/danganronpa/comments/ns7rjw/ye/h0ml5cb/</t>
  </si>
  <si>
    <t>danganronpa</t>
  </si>
  <si>
    <t>Side-Character-A</t>
  </si>
  <si>
    <t>:reserveboy:Reserve Boy</t>
  </si>
  <si>
    <t>CONTEXT_ACCESSED: no
CONTEXT_REASON: n/a
Antecedent: the people/users on 4chan who call themselves “anonymous.” The pronoun refers to that group collectively, not a single person or a generic individual. plural</t>
  </si>
  <si>
    <t>ma_era_73944</t>
  </si>
  <si>
    <t>[203, 207]</t>
  </si>
  <si>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</si>
  <si>
    <t>https://www.reddit.com/r/BeardAdvice/comments/dbhhyb/will_these_beard_patches_fill_in_also_low_density/f22huky/</t>
  </si>
  <si>
    <t>BeardAdvice</t>
  </si>
  <si>
    <t>zensouth</t>
  </si>
  <si>
    <t>CONTEXT_ACCESSED: no
CONTEXT_REASON: n/a
Antecedent of "they" is "the hairs directly above it," a definite plural noun phrase referring to specific hairs. Therefore, it’s plural. plural</t>
  </si>
  <si>
    <t>ma_era_7533387</t>
  </si>
  <si>
    <t>[195, 199]</t>
  </si>
  <si>
    <t>Ik objectively means not a personal preference no shit. I’m just saying why does it matter? So he can pick the “sweatiest character”? Just because a character is good doesn’t mean they will like them or be good with them. I think it’s irrelevant who’s the best. Just play who you wanna 🤷‍♂️</t>
  </si>
  <si>
    <t>https://www.reddit.com/r/forhonor/comments/nsjxro/objectively_the_best_character_for_1v1_would_be/h0mz7wz/</t>
  </si>
  <si>
    <t>forhonor</t>
  </si>
  <si>
    <t>WavingDinosaur</t>
  </si>
  <si>
    <t>CONTEXT_ACCESSED: no
CONTEXT_REASON: n/a
Antecedent of “them” is “a character” (non-specific, hypothetical). It’s a singular they used generically for any character, not a specific individual. generic</t>
  </si>
  <si>
    <t>ma_era_75347</t>
  </si>
  <si>
    <t>[826, 830]</t>
  </si>
  <si>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</si>
  <si>
    <t>https://www.reddit.com/r/AskUK/comments/dbjvzk/have_you_ever_asked_a_letting_agent_for_the/f22i014/</t>
  </si>
  <si>
    <t>datgrace</t>
  </si>
  <si>
    <t>CONTEXT_ACCESSED: no
CONTEXT_REASON: n/a
Referent: the tenant’s specific letting agent (“your agent”) mentioned earlier. This is a specific individual, gender unspecified, so the pronoun is singular they. singular</t>
  </si>
  <si>
    <t>ma_era_7542190</t>
  </si>
  <si>
    <t>[441, 445]</t>
  </si>
  <si>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</si>
  <si>
    <t>https://www.reddit.com/r/fresno/comments/nsc02j/looking_for_opinions_about_kaiser_health_insurance/h0n009w/</t>
  </si>
  <si>
    <t>fresno</t>
  </si>
  <si>
    <t>hBoBh</t>
  </si>
  <si>
    <t>Tower</t>
  </si>
  <si>
    <t>CONTEXT_ACCESSED: no
CONTEXT_REASON: n/a
Referent of "them" is "my doc" (a single, specific doctor). Gender unspecified; clearly one person. Therefore this is singular. singular</t>
  </si>
  <si>
    <t>ma_era_7648367</t>
  </si>
  <si>
    <t>[114, 118]</t>
  </si>
  <si>
    <t>Yall do realize that this isn't a full crowd??? Its a pandemic crowd but instead of being spread out in the arena they are allowed to sit closer together. AEW has been running shows from the same market for over a year. I can't wait for AEW to hit the road.</t>
  </si>
  <si>
    <t>https://www.reddit.com/r/SquaredCircle/comments/nskiib/live_aew_dynamite_6421_discussion/h0n9zhl/</t>
  </si>
  <si>
    <t>SquaredCircle</t>
  </si>
  <si>
    <t>Mldavis22</t>
  </si>
  <si>
    <t>I wuv Wardlow</t>
  </si>
  <si>
    <t>CONTEXT_ACCESSED: no
CONTEXT_REASON: n/a
Refers to the people in the crowd/attendees who are allowed to sit closer together; this is a plural referent. plural</t>
  </si>
  <si>
    <t>ma_era_7728154</t>
  </si>
  <si>
    <t>[164, 168]</t>
  </si>
  <si>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</si>
  <si>
    <t>https://www.reddit.com/r/Tinder/comments/nsmsyk/noonlight/h0nhju2/</t>
  </si>
  <si>
    <t>Tinder</t>
  </si>
  <si>
    <t>BrownSugar_99</t>
  </si>
  <si>
    <t>CONTEXT_ACCESSED: no
CONTEXT_REASON: n/a
"They" refers to the specific scammer the speaker matched with on Tinder who then unmatched them; a single, specific person with unknown gender. singular</t>
  </si>
  <si>
    <t>ma_era_7874650</t>
  </si>
  <si>
    <t>[4, 8]</t>
  </si>
  <si>
    <t>Wow they are stunning. What kind of tree is it?</t>
  </si>
  <si>
    <t>https://www.reddit.com/r/chch/comments/nsobsg/for_queens_birthday_these_are_the_monarchs_of/h0nv2fl/</t>
  </si>
  <si>
    <t>chch</t>
  </si>
  <si>
    <t>New_Jellyfish7811</t>
  </si>
  <si>
    <t>CONTEXT_ACCESSED: no
CONTEXT_REASON: n/a
Reasoning: The follow-up “What kind of tree is it?” treats the tree as singular, so %they% most naturally refers to plural features of that one tree (e.g., flowers/leaves), making the pronoun plural. plural</t>
  </si>
  <si>
    <t>ma_era_7900568</t>
  </si>
  <si>
    <t>[187, 191]</t>
  </si>
  <si>
    <t>It definitely is a fluid formation. Look very closely at the pitch display on your side, it's one single green rectangle. Now look at theirs, you'll see it's layered. That signifies that they're using a fluid formation.</t>
  </si>
  <si>
    <t>https://www.reddit.com/r/WEPES/comments/nsj893/was_trying_to_setup_man_marking_in_a_match_but_my/h0nxhdr/</t>
  </si>
  <si>
    <t>WEPES</t>
  </si>
  <si>
    <t>ngb0001</t>
  </si>
  <si>
    <t>CONTEXT_ACCESSED: yes
CONTEXT_REASON: To confirm that “they” refers to the opposing team in the cited Reddit comment.
Referent: the opponent’s side/team (as indicated by “theirs” and discussion of formation). Teams are collective/group nouns treated as plural here. Therefore, %they% is plural. plural</t>
  </si>
  <si>
    <t>ma_era_8142883</t>
  </si>
  <si>
    <t>[2829, 2833]</t>
  </si>
  <si>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</si>
  <si>
    <t>https://www.reddit.com/r/JUSTNOMIL/comments/nsnnro/im_struggling_as_a_new_mom_navigating_my/h0oknzf/</t>
  </si>
  <si>
    <t>JUSTNOMIL</t>
  </si>
  <si>
    <t>clarroo</t>
  </si>
  <si>
    <t>CONTEXT_ACCESSED: no
CONTEXT_REASON: n/a
Antecedent is the specific baby/LO; gender not specified. “them” refers to that one individual, so it’s a specific singular they. singular</t>
  </si>
  <si>
    <t>ma_era_8274488</t>
  </si>
  <si>
    <t>[46, 51]</t>
  </si>
  <si>
    <t>Very telling words from a person who makes up their own ideas on characters sexuality. That Instagram page made me disregard their opinion even more</t>
  </si>
  <si>
    <t>https://www.reddit.com/r/titanfolk/comments/nssdtk/i_have_never_seen_a_fandom_hate_fan_fiction_like/h0owdgk/</t>
  </si>
  <si>
    <t>titanfolk</t>
  </si>
  <si>
    <t>yasadboidepression</t>
  </si>
  <si>
    <t>CONTEXT_ACCESSED: yes
CONTEXT_REASON: To check whether “a person” referred to a specific individual in the linked Reddit thread
“Their” refers back to “a person” (the Instagram page’s author), a single specific individual of unknown gender. Hence it is singular. singular</t>
  </si>
  <si>
    <t>ma_era_8285205</t>
  </si>
  <si>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</si>
  <si>
    <t>https://www.reddit.com/r/FO76ForumRefugees/comments/nswt7j/easiest_way_to_kill_and_find_legendaries_leader/h0oxc3a/</t>
  </si>
  <si>
    <t>FO76ForumRefugees</t>
  </si>
  <si>
    <t>CONTEXT_ACCESSED: no
CONTEXT_REASON: n/a
"They" refers to the game's developers/publishers responsible for changes that "broke" the feature—an impersonal/collective group. Therefore it’s plural. plural</t>
  </si>
  <si>
    <t>ma_era_8357190</t>
  </si>
  <si>
    <t>[197, 202]</t>
  </si>
  <si>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</si>
  <si>
    <t>https://www.reddit.com/r/hockeycards/comments/nsxk0p/old_vs_new/h0p4jh8/</t>
  </si>
  <si>
    <t>hockeycards</t>
  </si>
  <si>
    <t>JanuaryRains</t>
  </si>
  <si>
    <t>SPAuthentic :SPA:</t>
  </si>
  <si>
    <t>CONTEXT_ACCESSED: no
CONTEXT_REASON: n/a
Antecedent of “their” is “cards” in “I’ve collected cards … even if their value tanks,” which is a straightforward plural noun referent. plural</t>
  </si>
  <si>
    <t>ma_era_8451364</t>
  </si>
  <si>
    <t>[174, 179]</t>
  </si>
  <si>
    <t>they did what now?  i don't get out much so i'm sorry about my ignorance to any driving rule changes.  i used to drive below the limit and other drivers would salute me with their middle fingers.</t>
  </si>
  <si>
    <t>https://www.reddit.com/r/Calgary/comments/nsxnzp/almost_a_week_with_40kph_residential_speed_limits/h0pcdmn/</t>
  </si>
  <si>
    <t>Calgary</t>
  </si>
  <si>
    <t>myleftnutispurple</t>
  </si>
  <si>
    <t>CONTEXT_ACCESSED: no
CONTEXT_REASON: n/a
"their" refers to "other drivers," a plural noun phrase; it’s standard plural agreement. plural</t>
  </si>
  <si>
    <t>ma_era_8644784</t>
  </si>
  <si>
    <t>[181, 185]</t>
  </si>
  <si>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</si>
  <si>
    <t>https://www.reddit.com/r/PS5/comments/nsrro0/esrb_rates_the_medium_for_ps5/h0psujv/</t>
  </si>
  <si>
    <t>PS5</t>
  </si>
  <si>
    <t>bannd_plebbitor</t>
  </si>
  <si>
    <t>CONTEXT_ACCESSED: no
CONTEXT_REASON: n/a
"they" refers to the developers/publisher who remade Resident Evil 1 on GameCube (i.e., the decision-making group behind the game), an impersonal/group referent; therefore plural.</t>
  </si>
  <si>
    <t>ma_era_8707224</t>
  </si>
  <si>
    <t>[787, 792]</t>
  </si>
  <si>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</si>
  <si>
    <t>https://www.reddit.com/r/masskillers/comments/nsxckn/regret/h0pyacx/</t>
  </si>
  <si>
    <t>masskillers</t>
  </si>
  <si>
    <t>moreforeninety</t>
  </si>
  <si>
    <t>CONTEXT_ACCESSED: no
CONTEXT_REASON: n/a
Antecedent is “someone,” a non-specific, hypothetical individual; “their” is grammatically singular but non-referential, applying generally. generic</t>
  </si>
  <si>
    <t>ma_era_8738456</t>
  </si>
  <si>
    <t>[14, 18]</t>
  </si>
  <si>
    <t>I don't think they could've made a worse game mode if they tried. But if you like it good for you.</t>
  </si>
  <si>
    <t>https://www.reddit.com/r/CODWarzone/comments/nt2ndw/plunder_is_the_best_game_mode_in_cod_and_is_super/h0q116e/</t>
  </si>
  <si>
    <t>CODWarzone</t>
  </si>
  <si>
    <t>Myb4d</t>
  </si>
  <si>
    <t>CONTEXT_ACCESSED: no
CONTEXT_REASON: n/a
Antecedent: the creators/decision-makers behind the game mode (e.g., the developers). Usage: impersonal “they” referring to authors/deciders, which falls under plural. plural</t>
  </si>
  <si>
    <t>ma_era_8789291</t>
  </si>
  <si>
    <t>[283, 287]</t>
  </si>
  <si>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</si>
  <si>
    <t>https://www.reddit.com/r/comiccon/comments/ns8tun/the_ultimates_2022_elseworlds/h0q5j1w/</t>
  </si>
  <si>
    <t>comiccon</t>
  </si>
  <si>
    <t>StarWars294</t>
  </si>
  <si>
    <t>CONTEXT_ACCESSED: no
CONTEXT_REASON: n/a
Antecedent is “these convention organizers,” a clearly plural noun phrase; %them% refers to that group. plural</t>
  </si>
  <si>
    <t>ma_era_8937576</t>
  </si>
  <si>
    <t>[597, 601]</t>
  </si>
  <si>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</si>
  <si>
    <t>https://www.reddit.com/r/deadbydaylight/comments/nsusn6/dbd_community_trying_to_guide_bhvr_on_how_to/h0qil3c/</t>
  </si>
  <si>
    <t>deadbydaylight</t>
  </si>
  <si>
    <t>Hendeith</t>
  </si>
  <si>
    <t>CONTEXT_ACCESSED: no
CONTEXT_REASON: n/a
"they" refers to the game’s developers/publishers who changed balance (nerfed/buffed Wraith); this is an impersonal/plural reference to the deciders/authors. plural</t>
  </si>
  <si>
    <t>ma_era_8984040</t>
  </si>
  <si>
    <t>[11, 15]</t>
  </si>
  <si>
    <t>As long as they Don't look like me physically I'd like them probably</t>
  </si>
  <si>
    <t>https://www.reddit.com/r/AskReddit/comments/nt7x2x/what_if_you_marry_someone_who_looks_like_you_in/h0qmlyg/</t>
  </si>
  <si>
    <t>looking_4_friends987</t>
  </si>
  <si>
    <t>CONTEXT_ACCESSED: yes
CONTEXT_REASON: To confirm the antecedent is a hypothetical partner (“someone” like the speaker in behavior) from the linked comment.
Antecedent is the indefinite “someone” (a hypothetical partner); grammatically singular and non-specific, so this is singular they used generically. generic</t>
  </si>
  <si>
    <t>ma_era_9115660</t>
  </si>
  <si>
    <t>[560, 564]</t>
  </si>
  <si>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</si>
  <si>
    <t>https://www.reddit.com/r/ffxiv/comments/nt9hlz/what_is_the_proper_etiquette_around_mentors/h0qydq9/</t>
  </si>
  <si>
    <t>LavellanTrevelyan</t>
  </si>
  <si>
    <t>CONTEXT_ACCESSED: no
CONTEXT_REASON: n/a
Antecedent is “mentors” (and broadly “these players” who are mentors). “Them” refers to that group in general, not a single unspecified person. Therefore it’s plural. plural</t>
  </si>
  <si>
    <t>ma_era_9481983</t>
  </si>
  <si>
    <t>[287, 291]</t>
  </si>
  <si>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</si>
  <si>
    <t>https://www.reddit.com/r/singapore/comments/nt6k1d/rsingapore_random_discussion_and_small_questions/h0rw6qt/</t>
  </si>
  <si>
    <t>Legal-Implement-4645</t>
  </si>
  <si>
    <t>CONTEXT_ACCESSED: no
CONTEXT_REASON: n/a
Antecedent is “my teenager/YA,” a specific individual child. The highlighted %them% refers back to that one known person with gender unspecified. Therefore it is specific, grammatically singular usage. singular</t>
  </si>
  <si>
    <t>context_accessed</t>
  </si>
  <si>
    <t>CONTEXT_ACCESSED: yes
CONTEXT_REASON: Needed to confirm antecedent in the Reddit comment
"Their" refers to “your friend,” the single specific person whose lunch suggestion is being discussed. ([reddit.com](https://www.reddit.com/r/melbourne/comments/xys7r9/its_the_rmelbourne_daily_discussion_thread_sunday/irkm899/))
singular</t>
  </si>
  <si>
    <t>CONTEXT_ACCESSED: no
CONTEXT_REASON: n/a
'they' refers back to "some politician," a single hypothetical, non-specific individual; grammatically singular and non-referential. generic</t>
  </si>
  <si>
    <t>CONTEXT_ACCESSED: yes
CONTEXT_REASON: Disambiguated antecedent via the linked Reddit comment.
"They" refers to OP (the cyclist in the specific incident), a single specific person whose gender is unspecified; thus grammatically and semantically singular. singular</t>
  </si>
  <si>
    <t>CONTEXT_ACCESSED: no
CONTEXT_REASON: n/a
'their' refers to "some poor parent"—a single but non-specific hypothetical person; singular they used generically. generic</t>
  </si>
  <si>
    <t>CONTEXT_ACCESSED: yes
CONTEXT_REASON: Verified the referent in the linked Reddit comment to disambiguate "they".
Referent of %they%: the indefinite noun phrase "someone" introduced earlier. It’s grammatically singular and non-specific/hypothetical, so this is generic singular they. generic</t>
  </si>
  <si>
    <t>CONTEXT_ACCESSED: no
CONTEXT_REASON: n/a
'their' refers to the indefinite noun 'someone' (a hypothetical, non-specific person). It is grammatically singular and non-referential, so this is generic singular they. generic</t>
  </si>
  <si>
    <t>CONTEXT_ACCESSED: yes
CONTEXT_REASON: Verified the antecedent in the linked Reddit comment thread.
Antecedent: “the driver” of the slow car being discussed. “their vehicle” refers to that one specific driver’s car; gender unspecified but a single, definite person. singular</t>
  </si>
  <si>
    <t>CONTEXT_ACCESSED: yes
CONTEXT_REASON: to verify the antecedent of "their" in the Reddit comment
"Their" refers to "a person" in the general sense (“reducing a person to their race”): grammatically singular, non-specific/hypothetical. generic</t>
  </si>
  <si>
    <t>CONTEXT_ACCESSED: no
CONTEXT_REASON: n/a
Antecedent: an unspecified person who knocked (e.g., “someone you know” / “a stranger”). It’s a hypothetical, non-specific individual; grammatically singular and non-referential. generic</t>
  </si>
  <si>
    <t>CONTEXT_ACCESSED: no
CONTEXT_REASON: n/a
Antecedent is “someone” (a single, specific driver the speaker encountered). “They” refers back to that one person with gender unspecified, so it’s singular specific. singular</t>
  </si>
  <si>
    <t>CONTEXT_ACCESSED: yes
CONTEXT_REASON: Verified the referent in the linked Reddit comment.
"their" refers to "someone buying a place in cash," an unspecified, hypothetical individual; grammatically singular and non-specific. generic</t>
  </si>
  <si>
    <t>CONTEXT_ACCESSED: no
CONTEXT_REASON: n/a
Antecedent is “your friend,” a specific single person; %they% is singular they referring to that person. singular</t>
  </si>
  <si>
    <t>CONTEXT_ACCESSED: no
CONTEXT_REASON: n/a
'their' refers to OP (a single, specific poster) whose gender is unspecified, so it’s singular they. singular</t>
  </si>
  <si>
    <t>CONTEXT_ACCESSED: yes
CONTEXT_REASON: Verified the antecedent of "them" in the linked Reddit comment.
Referent: "someone" (an indefinite, hypothetical person). Grammatically singular and non-specific, used generically rather than for a specific individual. generic</t>
  </si>
  <si>
    <t>CONTEXT_ACCESSED: yes
CONTEXT_REASON: verified the source sentence and surrounding usage
Antecedent is the indefinite “someone,” a non-specific individual in a general rule; grammatically singular, non-referential. generic</t>
  </si>
  <si>
    <t>CONTEXT_ACCESSED: no
CONTEXT_REASON: n/a
"Their" refers to "someone" the speaker bumped into—an unspecified but single person whose gender is unknown. Therefore it is singular. singular</t>
  </si>
  <si>
    <t>CONTEXT_ACCESSED: yes
CONTEXT_REASON: Verified the antecedent in the linked Reddit comment.
Antecedent: “someone” (“when someone says …”). The %they% refers back to this indefinite person; it’s grammatically singular and non-specific. Therefore, generic</t>
  </si>
  <si>
    <t>CONTEXT_ACCESSED: yes
CONTEXT_REASON: Verified who “them” refers to in the quoted Reddit exchange.
“Them” in “buying them a pizza” refers back to the indefinite “someone,” i.e., a single, unspecified person in a hypothetical scenario; this is singular they used generically. ([reddit.com](https://www.reddit.com/r/australia/comments/pfebt/comment/c3oxdv5)) generic</t>
  </si>
  <si>
    <t>CONTEXT_ACCESSED: no
CONTEXT_REASON: n/a
Antecedent is “people” (a plural group). The %they% refers to that group not getting the outcomes they wanted, so it’s plural. plural</t>
  </si>
  <si>
    <t>CONTEXT_ACCESSED: yes
CONTEXT_REASON: accessed the Reddit thread to confirm who “their” referred to
“Their” modifies “local member” and refers back to the single original commenter being praised; it’s a specific individual of unknown/irrelevant gender. singular</t>
  </si>
  <si>
    <t>CONTEXT_ACCESSED: yes
CONTEXT_REASON: To confirm the antecedent in the original Reddit comment.
Antecedent: “someone else” (an indefinite hypothetical person worse off). The pronoun is grammatically singular, non-specific, and used generically in a hypothetical scenario. generic</t>
  </si>
  <si>
    <t>CONTEXT_ACCESSED: yes
CONTEXT_REASON: To confirm who “them/themselves” referred to in the original Reddit comment
“Themselves” refers back to “them,” i.e., the single specific family member (e.g., the commenter’s child) who might be drink driving; gender unspecified but clearly one person. singular</t>
  </si>
  <si>
    <t>CONTEXT_ACCESSED: yes
CONTEXT_REASON: Verified the Reddit comment context to confirm the referent (an unnamed other parent).
"their" refers to a single, unspecified person in a hypothetical/advice context (the other parent whose name you don't know). This is grammatically singular and non-referential. generic</t>
  </si>
  <si>
    <t>CONTEXT_ACCESSED: yes
CONTEXT_REASON: To identify the antecedent in the Reddit thread
Antecedent: police cars/police officers featured on the TV show; “their licence plates” refers to the plates of those police cars. The referent is a specific plural group, not generic or singular. plural</t>
  </si>
  <si>
    <t>CONTEXT_ACCESSED: yes
CONTEXT_REASON: verify the source comment to confirm the referent is a single specific developer
‘They’ refers to the same specific developer mentioned throughout (also later called “he”); it’s a single, known individual. singular</t>
  </si>
  <si>
    <t>CONTEXT_ACCESSED: yes
CONTEXT_REASON: To confirm who “them” refers to in the linked Reddit comment.
“Them” refers to the specific charity rep at the door (a single, definite person; gender unspecified), as shown in the comment. ([reddit.com](https://www.reddit.com/r/britishproblems/comments/y2yujk/charity_rep_came_to_the_door_told_them_i_dont/is7bcpf/)) singular</t>
  </si>
  <si>
    <t>CONTEXT_ACCESSED: no
CONTEXT_REASON: n/a
"Them" refers to "your SO" (significant other), a single, specific person whose gender is unspecified. Therefore it is singular.</t>
  </si>
  <si>
    <t>CONTEXT_ACCESSED: yes
CONTEXT_REASON: Verified the antecedent in the linked Reddit comment
Antecedent is “the person next to me,” a specific individual. The possessive “their” refers back to that one person with gender unspecified. singular</t>
  </si>
  <si>
    <t>CONTEXT_ACCESSED: yes
CONTEXT_REASON: Verified the referent in the linked Reddit comment.
"they" refers back to "a pro DST advocate," a single specific person whose gender is unspecified. Therefore it is singular.</t>
  </si>
  <si>
    <t>CONTEXT_ACCESSED: yes
CONTEXT_REASON: To determine who “they” refers to in the original Reddit comment.
“they” refers to potential attendees/interested individuals (e.g., white supremacists or curious people) who could find the event location—i.e., a non-specific group of multiple people. plural</t>
  </si>
  <si>
    <t>CONTEXT_ACCESSED: no
CONTEXT_REASON: n/a
Reasoning: "them" refers back to "someone," a single specific person of unspecified gender.
singular</t>
  </si>
  <si>
    <t>CONTEXT_ACCESSED: yes
CONTEXT_REASON: to identify the antecedent of "them" from the linked Reddit comment
Here, "them" refers to the group distributing the anti-homosexual flyers in Ashgrove (the homophobic lobby/organizers), as indicated by the linked Reddit thread. ([reddit.com](https://www.reddit.com/r/brisbane/comments/q7jjl/comment/c3vs2uk))
Because the antecedent is a collective/group, this is plural</t>
  </si>
  <si>
    <t>CONTEXT_ACCESSED: no
CONTEXT_REASON: n/a
"they" refers to "a barber" in a hypothetical, non-specific scenario; it’s grammatically singular but generic, not a specific known individual. generic</t>
  </si>
  <si>
    <t>CONTEXT_ACCESSED: no
CONTEXT_REASON: n/a
Referent: “their” refers to “your neighbour,” a single, specific person. It’s singular they used for an individual of unknown/unspecified gender. singular</t>
  </si>
  <si>
    <t>CONTEXT_ACCESSED: yes
CONTEXT_REASON: Disambiguate antecedent via the linked Reddit comment
'Them' refers to the single scammer/buyer who messaged the seller; it's a specific but gender-unknown individual, hence singular. ([reddit.com](https://www.reddit.com/r/australia/comments/xtl7pr/is_this_message_i_recieved_on_marketplace_a_scam/iqtetel/)) singular</t>
  </si>
  <si>
    <t>CONTEXT_ACCESSED: no
CONTEXT_REASON: n/a
"Themselves" refers back to "one of them," i.e., a specific single person; reflexive singular they. singular</t>
  </si>
  <si>
    <t>CONTEXT_ACCESSED: no
CONTEXT_REASON: n/a
‘their’ refers back to “the rider,” which is a non-specific, hypothetical individual; grammatically singular but generic in reference. generic</t>
  </si>
  <si>
    <t>CONTEXT_ACCESSED: no
CONTEXT_REASON: n/a
'them' refers to 'someone' (a hypothetical, non-specific person being offered a job), which is grammatically singular and non-referential; therefore it’s generic. generic</t>
  </si>
  <si>
    <t>CONTEXT_ACCESSED: no
CONTEXT_REASON: n/a
"The cold worker" is a specific singular referent; %their% refers back to that one person whose gender is unspecified. Hence it is a specific singular they. singular</t>
  </si>
  <si>
    <t>CONTEXT_ACCESSED: yes
CONTEXT_REASON: verify the referent in the linked Reddit comment
"They" refers to "a relative," a single specific person whose gender is unspecified; thus it is singular. singular</t>
  </si>
  <si>
    <t>CONTEXT_ACCESSED: no
CONTEXT_REASON: n/a
Antecedent is “a woman” in a rule-like, non-specific scenario; “them” stands for an unspecified individual person to whom the general advice applies. generic</t>
  </si>
  <si>
    <t>CONTEXT_ACCESSED: yes
CONTEXT_REASON: Verified antecedent in the linked Reddit comment
Antecedent: "the caller" (a single but non-specific person). The sentence states a general procedure (what one should tell a caller), so the pronoun is grammatically singular and non-referential. generic</t>
  </si>
  <si>
    <t>CONTEXT_ACCESSED: yes
CONTEXT_REASON: Confirmed antecedent is the non-specific “someone” (a chugger) mentioned earlier.
“Them” refers back to “someone,” which is grammatically singular and non-specific; this is singular they used for a general case, i.e., generic use. generic</t>
  </si>
  <si>
    <t>CONTEXT_ACCESSED: no
CONTEXT_REASON: n/a
Referent is the indefinite “someone” in a hypothetical scenario; grammatically singular and non-specific, so this is singular they used generically. generic</t>
  </si>
  <si>
    <t>CONTEXT_ACCESSED: yes
CONTEXT_REASON: verify that "their" does not refer to a specific individual in the linked thread
Antecedent is the NP "a married person," a grammatically singular, non-specific hypothetical; "their" is the generic singular they used to state a rule about any married person. generic</t>
  </si>
  <si>
    <t>CONTEXT_ACCESSED: yes
CONTEXT_REASON: Verified the comment context to identify the antecedent of “they” as the non-specific “someone” filming.
“they” refers back to “someone” in a general conditional (“when someone’s…”)—grammatically singular and non-specific, hence generic. generic</t>
  </si>
  <si>
    <t>CONTEXT_ACCESSED: yes
CONTEXT_REASON: Disambiguate antecedent via the linked Reddit comment
Antecedent is “a friend of a resident,” a hypothetical, non-specific individual; singular they used generically for an unknown person. generic</t>
  </si>
  <si>
    <t>CONTEXT_ACCESSED: yes
CONTEXT_REASON: To confirm the antecedent of “themselves” in the linked Reddit comment.
Antecedent: “someone in the UK with one black and one white parent” (indefinite, single person). “Themselves” is singular in form and refers to a non-specific hypothetical person. Therefore: generic</t>
  </si>
  <si>
    <t>CONTEXT_ACCESSED: yes
CONTEXT_REASON: verify the antecedent and usage in the linked Reddit comment
“They” refers to “someone from GandP,” a single, specific but gender-unknown person; thus it’s singular they. singular</t>
  </si>
  <si>
    <t>CONTEXT_ACCESSED: yes
CONTEXT_REASON: Verify the referent of "their" in the linked Reddit comment
Referent: OP (the original poster), a single specific person whose gender is unspecified. So %their% is a specific, grammatically singular pronoun for one individual. singular</t>
  </si>
  <si>
    <t>CONTEXT_ACCESSED: no
CONTEXT_REASON: n/a
Antecedent is “someone,” an indefinite, non-specific singular referent used generically to describe any person who calls themselves a “realist.” Therefore, it’s a grammatically singular, non-referential use. generic</t>
  </si>
  <si>
    <t>CONTEXT_ACCESSED: yes
CONTEXT_REASON: Verified the antecedent in the linked Reddit comment.
Antecedent is “a security guard” in the specific incident being discussed; it’s one specific person with unspecified gender. Therefore, %they're% is singular. singular</t>
  </si>
  <si>
    <t>CONTEXT_ACCESSED: no
CONTEXT_REASON: n/a
'their' refers to OP (a single, specific person whose gender is unspecified). Therefore it is singular.</t>
  </si>
  <si>
    <t>CONTEXT_ACCESSED: yes
CONTEXT_REASON: Verify the referent of "them" in the original Reddit comment.
Referent: "a bulk billed doctor" (a single, specific but unidentified doctor to be consulted). The pronoun "them" stands for that one doctor; gender is unspecified. Hence, singular.</t>
  </si>
  <si>
    <t>CONTEXT_ACCESSED: no
CONTEXT_REASON: n/a
Reasoning: "their" refers back to the indefinite singular "someone" in a hypothetical/general statement, making it grammatically singular and non-specific. generic</t>
  </si>
  <si>
    <t>CONTEXT_ACCESSED: no
CONTEXT_REASON: n/a
Referent: the company/service responsible for the servers (Steam/Valve). Companies/organizations are collective nouns and commonly take “they,” so this is collective/plural usage. plural</t>
  </si>
  <si>
    <t>CONTEXT_ACCESSED: yes
CONTEXT_REASON: Accessed the linked Reddit comment to verify who “they” referred to.
“they” refers to the Tumblr account owner who posted the parts; a specific but gender-unknown individual, so %their% is singular-specific. singular</t>
  </si>
  <si>
    <t>CONTEXT_ACCESSED: yes
CONTEXT_REASON: To verify the antecedent via the linked Reddit comment
Antecedent: an unspecified suicidal person (“anyone”/the person who might die), not a specific known individual. “They” is grammatically singular and used non-specifically to discuss a hypothetical person. generic</t>
  </si>
  <si>
    <t>CONTEXT_ACCESSED: yes
CONTEXT_REASON: to confirm the pronoun refers to OP (a single specific poster) in the linked Reddit comment
Referent: OP, a single identified person. The phrase “the evidence %they% themselves have provided” uses they for a specific individual whose gender is unspecified. Therefore: singular</t>
  </si>
  <si>
    <t>CONTEXT_ACCESSED: no
CONTEXT_REASON: n/a
Antecedent: “a rebellious 15 year old” (the girlfriend’s son), a single specific person. The sentence uses singular they to avoid specifying gender. singular</t>
  </si>
  <si>
    <t>CONTEXT_ACCESSED: yes
CONTEXT_REASON: To confirm the antecedent of “their” in the quoted Reddit comment.
Antecedent: “someone” in “watching someone put food in their mouth and chew,” which is an indefinite, non-specific person. “Their” is grammatically singular and non-referential, used generically. generic</t>
  </si>
  <si>
    <t>CONTEXT_ACCESSED: no
CONTEXT_REASON: n/a
"Them" refers back to "one of them" (a single, specific group member who asked for a bandaid); gender unspecified, so this is singular they. singular</t>
  </si>
  <si>
    <t>CONTEXT_ACCESSED: yes
CONTEXT_REASON: Accessed the linked Reddit comment to identify the antecedent.
In the thread, %they% refers to “the German bishops” mentioned in the post—a specific group of multiple people. ([reddit.com](https://www.reddit.com/r/CatholicMemes/comments/npvscp/hopefully_the_german_bishops_will_take_heed_of/h08eozn/))
plural</t>
  </si>
  <si>
    <t>CONTEXT_ACCESSED: no
CONTEXT_REASON: n/a
Antecedent is “the teller,” a single, specific person with unspecified gender. The %they% stands for that one teller, so it’s singular. singular</t>
  </si>
  <si>
    <t>CONTEXT_ACCESSED: yes
CONTEXT_REASON: Verified the antecedent in the linked Reddit comment.
Antecedent of %them% is "lists" in "refer to lists … without … printing them out," a concrete plural noun. Therefore, it’s plural. plural</t>
  </si>
  <si>
    <t>CONTEXT_ACCESSED: yes
CONTEXT_REASON: Verified antecedent in the linked Reddit comment
'%they%' refers to "this guy" (the specific commenter) described as hating straight men; it is a specific, singular referent despite earlier gendering. singular</t>
  </si>
  <si>
    <t>CONTEXT_ACCESSED: yes
CONTEXT_REASON: To confirm the antecedent in the linked Reddit comment and ensure 'they' refers back to “someone.”
Antecedent is “someone” (a hypothetical individual attacker). The %they% refers to a single, unspecified person in a general scenario—grammatically singular, non-specific. generic</t>
  </si>
  <si>
    <t>CONTEXT_ACCESSED: no
CONTEXT_REASON: n/a
Reasoning: “they” refers back to “the person,” a single, specific but gender-unknown individual; thus it’s singular-specific usage. singular</t>
  </si>
  <si>
    <t>CONTEXT_ACCESSED: yes
CONTEXT_REASON: To identify the antecedent of “They” in the linked Reddit comment
Antecedent: great apes (a plural noun referring to a group).
Reasoning: Refers to the species group collectively; grammatically and semantically plural.
plural</t>
  </si>
  <si>
    <t>CONTEXT_ACCESSED: no
CONTEXT_REASON: n/a
Antecedent of %they% is the news crews/reporters (“news vans”) who questioned the narrator; this denotes multiple people, so it’s plural. plural</t>
  </si>
  <si>
    <t>CONTEXT_ACCESSED: no
CONTEXT_REASON: n/a
Antecedent is “an objective stranger,” a single but non-specific person; “they” refers to that hypothetical individual, so it’s singular and generic in use. generic</t>
  </si>
  <si>
    <t>CONTEXT_ACCESSED: yes
CONTEXT_REASON: Disambiguated antecedent via the linked Reddit thread
Antecedent is “pro players” in the prior comment; %they% refers to those players as a group, so it’s plural. plural</t>
  </si>
  <si>
    <t>CONTEXT_ACCESSED: no
CONTEXT_REASON: n/a
Antecedent: “those who have any decision making clout” (multiple decision-makers). The %they% continues referring to this group, so it denotes multiple specific people. plural</t>
  </si>
  <si>
    <t>CONTEXT_ACCESSED: yes
CONTEXT_REASON: Verified the referent of ‘they’ in the linked Reddit comment.
‘They’ refers to the specific OP account (alleged repost bot), a single, specific entity; gender/identity unspecified. singular</t>
  </si>
  <si>
    <t>CONTEXT_ACCESSED: no
CONTEXT_REASON: n/a
Referent: “that person” (the owner whose loved one/pet was defiled) in a hypothetical scenario. Grammatically singular, non-specific individual. Therefore this is singular “they” used generically. generic</t>
  </si>
  <si>
    <t>CONTEXT_ACCESSED: no
CONTEXT_REASON: n/a
"They" refers to two specific shotguns mentioned together ("the Flakker or the Butcher"), treating them as a set; thus it’s a plural referent. plural</t>
  </si>
  <si>
    <t>CONTEXT_ACCESSED: yes
CONTEXT_REASON: Verified the antecedent (OP) in the linked Reddit comment.
Antecedent: OP (a single, specific person). The phrase “submitted it to %their% teacher” uses singular they to refer to OP whose gender is unspecified. singular</t>
  </si>
  <si>
    <t>CONTEXT_ACCESSED: yes
CONTEXT_REASON: Verified the referent of "them" in the linked Reddit comment.
"Them" refers to "the store" (a company/collective noun). Collective entities like companies are commonly referred to with plural they. plural</t>
  </si>
  <si>
    <t>CONTEXT_ACCESSED: yes
CONTEXT_REASON: Verified antecedent in linked Reddit comment
Antecedent is the staffing agency/recruiters who called with an offer; a collective/company entity. That makes this a collective/group use of “they,” hence plural. plural</t>
  </si>
  <si>
    <t>CONTEXT_ACCESSED: yes
CONTEXT_REASON: Verified the referent in the linked Reddit thread.
Referent: Riot developers/Riot Games (the designers/decision-makers). This is a collective/group of people, discussed as the ones making design decisions. Therefore, the highlighted they is plural. plural</t>
  </si>
  <si>
    <t>CONTEXT_ACCESSED: yes
CONTEXT_REASON: To verify the antecedent in the linked Reddit comment
"Them" refers to "the govt" (government), a collective/group noun; therefore it’s plural. ([reddit.com](https://www.reddit.com/r/singapore/comments/nqd3ej/has_singapore_stopped_following_science_on_covid19/h0a1noh/))
plural</t>
  </si>
  <si>
    <t>CONTEXT_ACCESSED: yes
CONTEXT_REASON: verify the antecedent in the linked Reddit comment
Antecedent: “the realtor” in a hypothetical rule-of-thumb. Grammatically singular, non-specific person; ‘they’ is gender-neutral and applies to any realtor in that scenario. generic</t>
  </si>
  <si>
    <t>CONTEXT_ACCESSED: yes
CONTEXT_REASON: To disambiguate whether "they" referred to an opponent or a character
"They" refers to a non-specific opponent/player in a hypothetical gameplay situation; grammatically singular, non-referential. generic</t>
  </si>
  <si>
    <t>CONTEXT_ACCESSED: no
CONTEXT_REASON: n/a
Antecedent of %their% is “The Phalangite,” a single archetypal member of a class, not a specific individual. Grammatically singular, used non-specifically to describe a general case. generic</t>
  </si>
  <si>
    <t>CONTEXT_ACCESSED: yes
CONTEXT_REASON: to confirm the antecedent in the linked Reddit thread
"They" refers back to "People" in the prior comment (“People die, quite a lot.”), so it’s a straightforward plural reference. ([reddit.com](https://www.reddit.com/r/unitedkingdom/comments/npw3fw/covid_zero_daily_deaths_announced_in_uk_for_first/h0a49yr/))
plural</t>
  </si>
  <si>
    <t>CONTEXT_ACCESSED: no
CONTEXT_REASON: n/a
Referent: “players who are trying to complete ‘play 40 artifacts’/‘play 60 neutral cards’.” This is a definite group of multiple players; %they% stands for those players, so it’s grammatically and semantically plural. plural</t>
  </si>
  <si>
    <t>CONTEXT_ACCESSED: yes
CONTEXT_REASON: To identify the antecedent in the Reddit thread
“They” refers to the movie studio/filmmakers (a company/collective) being discussed; company/collective nouns take plural agreement here. plural</t>
  </si>
  <si>
    <t>CONTEXT_ACCESSED: no
CONTEXT_REASON: n/a
“Themselves” is the reflexive of singular “they” referring back to “this person,” a single, specific individual. Hence it’s singular. singular</t>
  </si>
  <si>
    <t>CONTEXT_ACCESSED: yes
CONTEXT_REASON: Verified the referents in the linked Reddit comment; “them” refers to Coutinho and Bale as two players.
“%them%” refers to Coutinho and Bale (two individuals). It’s a straightforward plural anaphor to the named pair. plural</t>
  </si>
  <si>
    <t>CONTEXT_ACCESSED: yes
CONTEXT_REASON: Verified the antecedent of the pronoun in the original Reddit comment.
Antecedent is a single opponent/player whose gender is unspecified; the sentence contrasts “their own draw step” with “your” turn, so %them% refers to that one player specifically. singular</t>
  </si>
  <si>
    <t>CONTEXT_ACCESSED: yes
CONTEXT_REASON: accessed the linked Reddit comment to confirm the antecedent of "they"
Antecedent: “McDonalds” (the company). Company names are collective/group nouns; using “they” for such falls under the plural category. plural</t>
  </si>
  <si>
    <t>CONTEXT_ACCESSED: no
CONTEXT_REASON: n/a
Referent of "their" is "everyone" in "everyone gets to choose," which is notionally plural per your rules, so %their% is plural. plural</t>
  </si>
  <si>
    <t>CONTEXT_ACCESSED: no
CONTEXT_REASON: n/a
"Them" refers to the pair "Mouten x Ouhon" (two individuals shipped together), so it denotes more than one person. plural</t>
  </si>
  <si>
    <t>CONTEXT_ACCESSED: yes
CONTEXT_REASON: Verified the discussion context in the linked Reddit thread.
"%they%" refers to the TRP community’s people (users/mods); “they all” clearly targets multiple individuals, not a single generic person. ([reddit.com](https://www.reddit.com/r/PurplePillDebate/comments/dblc0d/thoughts_on_rtheredpill_closing/f22z8c0/)) plural</t>
  </si>
  <si>
    <t>CONTEXT_ACCESSED: yes
CONTEXT_REASON: To verify the exact sentence and antecedent in the linked Reddit comment.
Antecedent: “somebody on Twitter” (a specific but unidentified individual). In “who they anonymized,” “they” refers to that one Twitter user who anonymized the Wizards employee, making it a specific singular they, not generic and not plural. singular</t>
  </si>
  <si>
    <t>CONTEXT_ACCESSED: yes
CONTEXT_REASON: Verified the antecedent in the linked Reddit comment
Antecedent: “Teddy … and Eisenhower.” The pronoun refers jointly to these two presidents, so it denotes more than one specific person. plural</t>
  </si>
  <si>
    <t>CONTEXT_ACCESSED: yes
CONTEXT_REASON: Verified the referent of “they” in the linked Reddit comment
“They” refers to “umkao,” a seller/company (collective entity), so it’s treated as a plural reference. plural</t>
  </si>
  <si>
    <t>CONTEXT_ACCESSED: no
CONTEXT_REASON: n/a
Antecedent is an unspecified individual virgin in a hypothetical relationship (“their partner” per person). Non-referential, applies generically to any such person; thus singular in use and generic in meaning. generic</t>
  </si>
  <si>
    <t>CONTEXT_ACCESSED: no
CONTEXT_REASON: n/a
Antecedent is “someone” in a hypothetical; %they% refers to a single, non-specific person’s team/bathroom/pronouns. This is grammatically singular and non-referential. generic</t>
  </si>
  <si>
    <t>CONTEXT_ACCESSED: yes
CONTEXT_REASON: Verified the referent in the linked Reddit comment.
%them% refers to “pointy ears,” a plural inanimate noun; thus the pronoun is plural. plural</t>
  </si>
  <si>
    <t>CONTEXT_ACCESSED: yes
CONTEXT_REASON: Verified the antecedent of %their% in the Reddit comment.
%their% refers to “Steam,” a company name (collective entity). By your criteria, company names fall under collective/group nouns, thus plural. plural</t>
  </si>
  <si>
    <t>CONTEXT_ACCESSED: yes
CONTEXT_REASON: To identify the antecedent in the linked Reddit thread.
Antecedent is “Muslim women” at the Tunisian wedding; “their” refers to that group, so it’s referring to multiple specific people. plural</t>
  </si>
  <si>
    <t>CONTEXT_ACCESSED: no
CONTEXT_REASON: n/a
Reasoning: “them” refers to multiple potential dates/partners (“dating others,” “between dates”), so it denotes more than one person. plural</t>
  </si>
  <si>
    <t>CONTEXT_ACCESSED: yes
CONTEXT_REASON: Verified the antecedent in the linked Reddit thread.
“They” refers to the specific patient/individual described in the OP (“a patient… this individual”), i.e., one particular person with unspecified gender. singular</t>
  </si>
  <si>
    <t>CONTEXT_ACCESSED: yes
CONTEXT_REASON: Disambiguate antecedent in the linked Reddit comment.
Antecedent is “people who say ‘first try’,” i.e., a group. The highlighted they refers back to those people collectively, so it’s plural. plural</t>
  </si>
  <si>
    <t>CONTEXT_ACCESSED: yes
CONTEXT_REASON: Verified the Reddit comment to identify the antecedent.
Antecedent: a specific group being discussed in the thread (EH shippers/fans). “Someone recommend them Twilight” addresses that group; “they will find that plot…” continues referring to the same multiple people. Therefore, %them% is referring to a definite group of people, not a generic or singular referent. plural</t>
  </si>
  <si>
    <t>CONTEXT_ACCESSED: no
CONTEXT_REASON: n/a
Antecedent of "they" is Jean and Emma as a specific pair; thus it's referring to multiple specific people. plural</t>
  </si>
  <si>
    <t>CONTEXT_ACCESSED: no
CONTEXT_REASON: n/a
In “one of %them%,” the pronoun “them” denotes a plural set from which a single member is selected; the referent group is multiple entities, not a generic or singular individual. plural</t>
  </si>
  <si>
    <t>CONTEXT_ACCESSED: yes
CONTEXT_REASON: Checked the linked Reddit comment to see who “they” referred to.
“They” refers to the Snahp site/admins (a collective entity). Collective/group nouns take plural “they.” plural</t>
  </si>
  <si>
    <t>CONTEXT_ACCESSED: no
CONTEXT_REASON: n/a
Referent of they: “someone” (an unspecified individual in a hypothetical scenario). Grammatically singular and non-specific, so this is generic they. generic</t>
  </si>
  <si>
    <t>CONTEXT_ACCESSED: no
CONTEXT_REASON: n/a
“They” refers to “your old pair” (of shoes/sandals), a concrete plural noun phrase; thus it’s straightforwardly plural. plural</t>
  </si>
  <si>
    <t>CONTEXT_ACCESSED: no
CONTEXT_REASON: n/a
“They” refers to “one of my friends,” a specific single person with unspecified gender; thus grammatically and semantically singular. singular</t>
  </si>
  <si>
    <t>CONTEXT_ACCESSED: yes
CONTEXT_REASON: To verify who "their" refers to in the linked Reddit comment.
"Their" refers to the named individual Zachary Jack (possessive: their profile), making it a specific singular referent. ([reddit.com](https://www.reddit.com/r/tipofmytongue/comments/nr0igv/tomt_song_2010s_song_about_a_cocky_criminal_who/h0dqjpa/))
singular</t>
  </si>
  <si>
    <t>CONTEXT_ACCESSED: no
CONTEXT_REASON: n/a
Antecedent: “the most rugged of individualists” — a hypothetical, non-specific person. “their” is singular grammatically and used for a general case. generic</t>
  </si>
  <si>
    <t>CONTEXT_ACCESSED: no
CONTEXT_REASON: n/a
Antecedent is “someone,” a grammatically singular, non-specific person in a hypothetical scenario; “them” is singular they used generically. generic</t>
  </si>
  <si>
    <t>CONTEXT_ACCESSED: yes
CONTEXT_REASON: verify the antecedent in the linked Reddit comment
Referent: the general Reddit users/audience (people who downvote/consume recipes), effectively the crowd; tied to “no one cares about giving credit.” This is an impersonal/notionally plural use. plural</t>
  </si>
  <si>
    <t>CONTEXT_ACCESSED: yes
CONTEXT_REASON: to confirm the antecedent from the surrounding Reddit thread
Antecedent: “anyone” (non-specific person in a hypothetical). The sentence uses singular they for a generic, non-referential individual. generic</t>
  </si>
  <si>
    <t>CONTEXT_ACCESSED: no
CONTEXT_REASON: n/a
Referent: Najimi (a single, specific character). The pronoun is epicene “their” for one known person, not generic or plural. singular</t>
  </si>
  <si>
    <t>CONTEXT_ACCESSED: no
CONTEXT_REASON: n/a
Antecedent of %them% is “your pet,” a single specific animal; gender unspecified. Therefore, singular.</t>
  </si>
  <si>
    <t>CONTEXT_ACCESSED: no
CONTEXT_REASON: n/a
Antecedent: “an urbexer” in a specific video; gender unspecified. “with them” refers to that single, particular urbexer in the video. Hence, a specific singular referent using they. singular</t>
  </si>
  <si>
    <t>CONTEXT_ACCESSED: no
CONTEXT_REASON: n/a
Antecedent is “no one,” which your scheme lists under “notionally plural.” “Their” refers back to that non-specific set of people collectively. plural</t>
  </si>
  <si>
    <t>CONTEXT_ACCESSED: yes
CONTEXT_REASON: Disambiguate the referent of "they" in the linked Reddit comment
"They" refers to a single, specific user (the original poster/driver) who uploaded the video; gender unspecified, hence singular they. singular</t>
  </si>
  <si>
    <t>CONTEXT_ACCESSED: yes
CONTEXT_REASON: verify the antecedent of "their" via the linked Reddit comment
Antecedent: "their" refers back to "their moms." It denotes the mothers (a plural set) whose sex life is being discussed. Therefore the highlighted "their" is plural. plural</t>
  </si>
  <si>
    <t>CONTEXT_ACCESSED: no
CONTEXT_REASON: n/a
Antecedent is the plural noun “words” (“throw them around”), so %them% refers to words/labels, not a single person. plural</t>
  </si>
  <si>
    <t>CONTEXT_ACCESSED: yes
CONTEXT_REASON: Needed to confirm who “them” referred to in the Reddit thread.
“them” refers to the fiancé’s parents (a specific plural group) discussed as the people the son was turned against. ([reddit.com](https://www.reddit.com/r/AmItheAsshole/comments/nrbzof/aita_for_refusing_to_do_christian_wedding/h0gz6ek/))
plural</t>
  </si>
  <si>
    <t>CONTEXT_ACCESSED: yes
CONTEXT_REASON: Verified the Reddit thread to determine whether the artwork depicted one character or multiple.
In the comment under a post titled “Merfolk illustration,” the %THEY% refers to the specific merfolk depicted in the artwork (a single, specific person of unspecified gender). singular</t>
  </si>
  <si>
    <t>CONTEXT_ACCESSED: yes
CONTEXT_REASON: Verified the full sentence to confirm the antecedent of "their"
Antecedent is a coordinated noun phrase: “the benz patent motorwagen and the Ford Model T,” which is plural; thus “their” is plural. plural</t>
  </si>
  <si>
    <t>CONTEXT_ACCESSED: yes
CONTEXT_REASON: Verified the referent in the linked Reddit comment
Referent: OP (a single, specific person). Gender unspecified; clearly one individual. Therefore the highlighted “they” is singular. singular</t>
  </si>
  <si>
    <t>CONTEXT_ACCESSED: yes
CONTEXT_REASON: To identify who "they" referred to in the linked Reddit comment.
"They" refers to the specific video creator the OP mentions; a single, specific person with unspecified gender. ([reddit.com](https://www.reddit.com/r/crafts/comments/nrgu1i/please_help_me_find_saw_this_being_used_in_a/h0hwlod/))
singular</t>
  </si>
  <si>
    <t>CONTEXT_ACCESSED: yes
CONTEXT_REASON: To verify the antecedent of "their" in the original Reddit comment.
Antecedent: "a parent" (a single hypothetical person). "Their kids" means the children of that generic parent. Grammatically singular, non-specific referent → generic. generic</t>
  </si>
  <si>
    <t>CONTEXT_ACCESSED: yes
CONTEXT_REASON: Verified the antecedent in the linked Reddit comment.
"their" refers to the local office (an organization/collective), so it’s a collective/group-noun use, classified as plural. plural</t>
  </si>
  <si>
    <t>CONTEXT_ACCESSED: yes
CONTEXT_REASON: Verified antecedent in the linked Reddit comment
Antecedent: Chase (the bank), a company/collective entity. In “see if %they%’ve already decided…,” “they” refers to that institution, which is a collective/group noun treated as plural. plural</t>
  </si>
  <si>
    <t>CONTEXT_ACCESSED: no
CONTEXT_REASON: n/a
Antecedent: “a person born with xx” (non-specific, hypothetical individual). Grammatically singular and non-referential; thus a generic singular they. generic</t>
  </si>
  <si>
    <t>CONTEXT_ACCESSED: yes
CONTEXT_REASON: Verified who “they” refers to in the Reddit comment.
“They” follows “explain to them” where “them” = the PIC (pharmacy manager); the hiring action is attributed to that same single manager. Therefore it’s a specific singular referent. singular</t>
  </si>
  <si>
    <t>CONTEXT_ACCESSED: yes
CONTEXT_REASON: Verified the antecedent on the linked Reddit comment.
Antecedent: “Liberty Hangout” (a group/organization). “their perfect Catholic lifestyle” refers to the group’s advocated lifestyle; collective noun taking plural they. plural</t>
  </si>
  <si>
    <t>CONTEXT_ACCESSED: yes
CONTEXT_REASON: Verified that “they” refers to the app Astro Matrix/the company behind it in the linked Reddit thread.
Referent: the makers/company of the Astro Matrix app. Collective organization treated as plural; not generic or singular. plural</t>
  </si>
  <si>
    <t>CONTEXT_ACCESSED: yes
CONTEXT_REASON: To confirm who “they” refers to in the linked Reddit thread.
Referent: “they/their” = abusers/estranged parents (a group). The possessive “%their% kids” points back to that plural group, not a generic or singular individual. plural</t>
  </si>
  <si>
    <t>CONTEXT_ACCESSED: no
CONTEXT_REASON: n/a
Refers to the indefinite “someone” in a hypothetical/general rule; grammatically singular but non-specific. generic</t>
  </si>
  <si>
    <t>CONTEXT_ACCESSED: yes
CONTEXT_REASON: To identify the antecedent in the linked Reddit comment.
Antecedent: negligent hospital staff (nurses/doctors) being discussed; “their superiors” refers to the superiors of those staff members. Therefore %their% refers to multiple people. plural</t>
  </si>
  <si>
    <t>CONTEXT_ACCESSED: yes
CONTEXT_REASON: Verified the referent in the linked Reddit comment thread.
"their" refers to a specific spouse/partner (a single player) you teleport to; gender unspecified but clearly one person. singular</t>
  </si>
  <si>
    <t>CONTEXT_ACCESSED: yes
CONTEXT_REASON: Verified the full comment to confirm the antecedent of “them”.
Antecedent is “2 or more orders,” a clearly plural noun phrase; “doing them separate” refers to those multiple orders. plural</t>
  </si>
  <si>
    <t>CONTEXT_ACCESSED: yes
CONTEXT_REASON: Verified the antecedent of "they" in the linked Reddit comment.
"They" refers to the two items being contrasted: a mountain and an iceberg (“two very different things”), i.e., a plural referent. plural</t>
  </si>
  <si>
    <t>CONTEXT_ACCESSED: yes
CONTEXT_REASON: Verified antecedent in the linked Reddit thread
"their" refers to b44l, a single specific user, as a possessive determiner for that user's post; gender unspecified. singular</t>
  </si>
  <si>
    <t>CONTEXT_ACCESSED: no
CONTEXT_REASON: n/a
"Them" refers to "memes" mentioned earlier; it's a straightforward plural referent. plural</t>
  </si>
  <si>
    <t>CONTEXT_ACCESSED: no
CONTEXT_REASON: n/a
Antecedent of "They" is "This person," a specific individual; gender is unspecified but reference is to a single, identified person. singular</t>
  </si>
  <si>
    <t>CONTEXT_ACCESSED: yes
CONTEXT_REASON: Verified the antecedent in the linked Reddit comment.
Antecedent of "they" is "The player" (a nonspecific individual in a rule-like statement). It’s grammatically singular and non-referential, applying to any player; thus it is generic. generic</t>
  </si>
  <si>
    <t>CONTEXT_ACCESSED: yes
CONTEXT_REASON: Verified the sentence and the referent on the linked Reddit comment.
Referent of "they": "your ancestor" (a grammatically singular, non-specific hypothetical person). Therefore, the usage is singular they in a general rule context → generic. generic</t>
  </si>
  <si>
    <t>CONTEXT_ACCESSED: yes
CONTEXT_REASON: Verified antecedent in the linked Reddit comment
Antecedent is “Respawn” (the company/developers). Company names are collective/group nouns and commonly take “they” to refer to the organization/its decision-makers. Hence, plural</t>
  </si>
  <si>
    <t>CONTEXT_ACCESSED: yes
CONTEXT_REASON: verify antecedent in the linked Reddit comment
"They" refers to Kino Lorber, the distributor launching the VOD platform; a company name is a collective noun and takes plural they here. ([reddit.com](https://www.reddit.com/r/criterion/comments/dbh312/arthouse_distributor_kino_lorber_launches_film_tv/f22hnxm/))
plural</t>
  </si>
  <si>
    <t>CONTEXT_ACCESSED: no
CONTEXT_REASON: n/a
'their' refers to "a staff member"—a single, non-specific hypothetical person; gender-neutral singular they used in a general example. generic</t>
  </si>
  <si>
    <t>CONTEXT_ACCESSED: no
CONTEXT_REASON: n/a
"they" refers to the indefinite "someone" (a hypothetical person) mentioned earlier, making it grammatically singular and non-specific. Hence, generic</t>
  </si>
  <si>
    <t>CONTEXT_ACCESSED: no
CONTEXT_REASON: n/a
Antecedent is “someone,” an indefinite, hypothetical individual; “them” is singular they used generically for a non-specific person. generic</t>
  </si>
  <si>
    <t>CONTEXT_ACCESSED: no
CONTEXT_REASON: n/a
Antecedent: users on 4chan (people collectively). “They call themselves that” refers to this group identifying as “anonymous,” so it’s referring to multiple people. plural</t>
  </si>
  <si>
    <t>CONTEXT_ACCESSED: yes
CONTEXT_REASON: Verify antecedent in the linked Reddit comment
Antecedent: “the hairs directly above it” (i.e., facial hairs). Concrete plural noun; refers to multiple hairs, not a generic or singular referent. plural</t>
  </si>
  <si>
    <t>CONTEXT_ACCESSED: no
CONTEXT_REASON: n/a
“They” refers to an unspecified player in general (“a person playing”), not a specific known individual; it’s singular in form and generic in reference. generic</t>
  </si>
  <si>
    <t>CONTEXT_ACCESSED: yes
CONTEXT_REASON: verify antecedent in the linked Reddit comment
Antecedent: the letting agent (“your agent”) handling the tenancy; a specific referent. Therefore this is specific singular they used for that agent. singular</t>
  </si>
  <si>
    <t>CONTEXT_ACCESSED: yes
CONTEXT_REASON: To verify whether %them% referred to the doctor or the organization
%them% refers to “my doc,” a single, specific doctor whose gender isn’t stated; this is a specific singular they. singular</t>
  </si>
  <si>
    <t>CONTEXT_ACCESSED: no
CONTEXT_REASON: n/a
Reasoning: "%they%" refers to the members of the crowd/audience (the spectators), i.e., multiple people allowed to sit closer together; this is a straightforward plural reference to people. plural</t>
  </si>
  <si>
    <t>CONTEXT_ACCESSED: yes
CONTEXT_REASON: To confirm who “they” referred to in the original Reddit comment
“They” refers to the single scammer/match the speaker was chatting with (“someone you meet online,” “The person had a verified profile,” “I blocked them”), so it’s a specific, gender-unknown individual. singular</t>
  </si>
  <si>
    <t>CONTEXT_ACCESSED: yes
CONTEXT_REASON: Disambiguate who "they" refers to in the linked Reddit thread
“They” refers to the monarch butterflies in the photos (multiple entities); “it” refers to the single tree. plural</t>
  </si>
  <si>
    <t>CONTEXT_ACCESSED: yes
CONTEXT_REASON: Verified the antecedent in the linked Reddit comment.
Antecedent: “theirs” = the opponent’s team; “they” refers to that team (a collective/group). Therefore the pronoun is used for a collective entity, which falls under plural. plural</t>
  </si>
  <si>
    <t>CONTEXT_ACCESSED: yes
CONTEXT_REASON: Verified the referent of "them" in the linked Reddit comment.
Referent: LO/“your baby” (a specific individual). The writer uses singular they for the baby (“food that they aren’t ready for,” “hand them back”). Therefore, it is specific and grammatically singular. singular</t>
  </si>
  <si>
    <t>CONTEXT_ACCESSED: yes
CONTEXT_REASON: Accessed linked Reddit comment to check the antecedent.
Antecedent of %their% is “a person,” which is a single, specific individual; %their% is a singular they referring to that one person. singular</t>
  </si>
  <si>
    <t>CONTEXT_ACCESSED: yes
CONTEXT_REASON: verified the antecedent in the linked Reddit comment
“They” refers to the game’s developers/programmers/lead devs at Bethesda—a specific group of people, hence plural. plural</t>
  </si>
  <si>
    <t>CONTEXT_ACCESSED: no
CONTEXT_REASON: n/a
Antecedent of "their" is "cards" (plural, inanimate). "Their value" means the value of the cards collectively. Therefore the form is plural. plural</t>
  </si>
  <si>
    <t>CONTEXT_ACCESSED: no
CONTEXT_REASON: n/a
"their" refers to "other drivers," a clearly plural antecedent. Therefore it is plural.</t>
  </si>
  <si>
    <t>CONTEXT_ACCESSED: yes
CONTEXT_REASON: Disambiguate the antecedent via the linked Reddit comment
Referent: Capcom/the Resident Evil developers who remade RE1 for GameCube; a company/collective noun used with plural they. ([reddit.com](https://www.reddit.com/r/PS5/comments/nsrro0/esrb_rates_the_medium_for_ps5/h0psujv/))
plural</t>
  </si>
  <si>
    <t>CONTEXT_ACCESSED: no
CONTEXT_REASON: n/a
%their% refers to the indefinite “someone,” a non-specific individual in a hypothetical statement; grammatically singular and non-referential. generic</t>
  </si>
  <si>
    <t>CONTEXT_ACCESSED: yes
CONTEXT_REASON: To verify the Reddit thread and identify who "they" refers to.
"They" refers to the game’s creators/deciders (developers/publishers) who made the mode—an impersonal, notionally plural referent. plural</t>
  </si>
  <si>
    <t>CONTEXT_ACCESSED: yes
CONTEXT_REASON: Opened the linked Reddit comment to confirm the antecedent of "them"
Reasoning: In “these convention organizers … I’ve looked %them% up,” “them” refers to “these convention organizers,” a specific group of people; thus it’s plural. plural</t>
  </si>
  <si>
    <t>CONTEXT_ACCESSED: no
CONTEXT_REASON: n/a
Referent: the game’s developers/publishers who adjusted balance (nerfed/buffed Wraith).
Category: impersonal deciders/authors, treated as a plural reference. plural</t>
  </si>
  <si>
    <t>CONTEXT_ACCESSED: yes
CONTEXT_REASON: Verified the referent in the linked Reddit comment.
“They” refers to a hypothetical potential spouse/partner in the OP’s scenario; it’s a single, non-specific person, so this is generic singular they. ([reddit.com](https://www.reddit.com/r/AskReddit/comments/nt7x2x/what_if_you_marry_someone_who_looks_like_you_in/h0qmlyg/))
generic</t>
  </si>
  <si>
    <t>CONTEXT_ACCESSED: no
CONTEXT_REASON: n/a
Antecedent is “mentors,” a plural noun referring to a group/class. “for them to take up the role” refers back to that plural set, not a generic singular person. plural</t>
  </si>
  <si>
    <t>CONTEXT_ACCESSED: no
CONTEXT_REASON: n/a
Antecedent is “my teenager/YA,” a single, specific person. The %them% refers back to that individual with gender unspecified; thus it’s singular. singular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</si>
</sst>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Standard" xfId="0" builtinId="0"/>
  </cellStyles>
  <dxfs count="5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4" xr16:uid="{B7B3992D-D06E-1442-9961-9C45ABAB6487}" autoFormatId="16" applyNumberFormats="0" applyBorderFormats="0" applyFontFormats="0" applyPatternFormats="0" applyAlignmentFormats="0" applyWidthHeightFormats="0">
  <queryTableRefresh nextId="21">
    <queryTableFields count="20">
      <queryTableField id="1" name="ID" tableColumnId="1"/>
      <queryTableField id="2" name="span" tableColumnId="2"/>
      <queryTableField id="3" name="comment_body" tableColumnId="3"/>
      <queryTableField id="4" name="permalink" tableColumnId="4"/>
      <queryTableField id="5" name="subreddit" tableColumnId="5"/>
      <queryTableField id="6" name="username" tableColumnId="6"/>
      <queryTableField id="7" name="user_flair" tableColumnId="7"/>
      <queryTableField id="8" name="created_utc" tableColumnId="8"/>
      <queryTableField id="9" name="they_form" tableColumnId="9"/>
      <queryTableField id="10" name="annotated" tableColumnId="10"/>
      <queryTableField id="11" name="they_type" tableColumnId="11"/>
      <queryTableField id="12" name="context_dependent" tableColumnId="12"/>
      <queryTableField id="20" dataBound="0" tableColumnId="20"/>
      <queryTableField id="13" name="comment" tableColumnId="13"/>
      <queryTableField id="14" name="special_interest" tableColumnId="14"/>
      <queryTableField id="15" name="referent_outside" tableColumnId="15"/>
      <queryTableField id="16" name="LLM_response" tableColumnId="16"/>
      <queryTableField id="17" name="LLM_annotation" tableColumnId="17"/>
      <queryTableField id="18" name="correct?" tableColumnId="18"/>
      <queryTableField id="19" name="qualitative_assessment" tableColumnId="1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eDaten_1" connectionId="5" xr16:uid="{76BEA794-9717-E644-A470-CFB176C27D78}" autoFormatId="16" applyNumberFormats="0" applyBorderFormats="0" applyFontFormats="0" applyPatternFormats="0" applyAlignmentFormats="0" applyWidthHeightFormats="0">
  <queryTableRefresh nextId="21">
    <queryTableFields count="20">
      <queryTableField id="1" name="ID" tableColumnId="1"/>
      <queryTableField id="2" name="span" tableColumnId="2"/>
      <queryTableField id="3" name="comment_body" tableColumnId="3"/>
      <queryTableField id="4" name="permalink" tableColumnId="4"/>
      <queryTableField id="5" name="subreddit" tableColumnId="5"/>
      <queryTableField id="6" name="username" tableColumnId="6"/>
      <queryTableField id="7" name="user_flair" tableColumnId="7"/>
      <queryTableField id="8" name="created_utc" tableColumnId="8"/>
      <queryTableField id="9" name="they_form" tableColumnId="9"/>
      <queryTableField id="10" name="annotated" tableColumnId="10"/>
      <queryTableField id="11" name="they_type" tableColumnId="11"/>
      <queryTableField id="12" name="context_dependent" tableColumnId="12"/>
      <queryTableField id="20" dataBound="0" tableColumnId="20"/>
      <queryTableField id="13" name="comment" tableColumnId="13"/>
      <queryTableField id="14" name="special_interest" tableColumnId="14"/>
      <queryTableField id="15" name="referent_outside" tableColumnId="15"/>
      <queryTableField id="16" name="LLM_response" tableColumnId="16"/>
      <queryTableField id="17" name="LLM_annotation" tableColumnId="17"/>
      <queryTableField id="18" name="correct?" tableColumnId="18"/>
      <queryTableField id="19" name="qualitative_assessment"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C7FBFA8-DE9F-314A-90F0-EE89F5E68E56}" name="results_context_via_permalink_gpt_5_2025_08_07_with_justification_run1" displayName="results_context_via_permalink_gpt_5_2025_08_07_with_justification_run1" ref="A1:T176" tableType="queryTable" totalsRowCount="1">
  <autoFilter ref="A1:T175" xr:uid="{BC7FBFA8-DE9F-314A-90F0-EE89F5E68E56}"/>
  <tableColumns count="20">
    <tableColumn id="1" xr3:uid="{AC2ED024-4965-C144-A19B-5A110C3E01AC}" uniqueName="1" name="ID" queryTableFieldId="1" dataDxfId="56" totalsRowDxfId="37"/>
    <tableColumn id="2" xr3:uid="{ACF4F372-453E-2B46-9F7F-56B29D214FA8}" uniqueName="2" name="span" queryTableFieldId="2" dataDxfId="55" totalsRowDxfId="36"/>
    <tableColumn id="3" xr3:uid="{662F9460-A750-094D-8111-6F1176BA4A93}" uniqueName="3" name="comment_body" queryTableFieldId="3" dataDxfId="54" totalsRowDxfId="35"/>
    <tableColumn id="4" xr3:uid="{5A80A842-D764-A443-8422-5E08278B1699}" uniqueName="4" name="permalink" queryTableFieldId="4" dataDxfId="53" totalsRowDxfId="34"/>
    <tableColumn id="5" xr3:uid="{26FC9851-2C0D-2E4C-BE81-42D40793E2FC}" uniqueName="5" name="subreddit" queryTableFieldId="5" dataDxfId="52" totalsRowDxfId="33"/>
    <tableColumn id="6" xr3:uid="{888ACB19-2D45-074A-8F34-8E50303E9399}" uniqueName="6" name="username" queryTableFieldId="6" dataDxfId="51" totalsRowDxfId="32"/>
    <tableColumn id="7" xr3:uid="{B89F0C46-82C5-FD4A-8DEA-83294B7DA3A8}" uniqueName="7" name="user_flair" queryTableFieldId="7" dataDxfId="50" totalsRowDxfId="31"/>
    <tableColumn id="8" xr3:uid="{D3994D65-6B96-524B-A79D-AB93D6920E66}" uniqueName="8" name="created_utc" queryTableFieldId="8"/>
    <tableColumn id="9" xr3:uid="{F579E249-0D66-3D4B-9461-3B8A2600736A}" uniqueName="9" name="they_form" queryTableFieldId="9" dataDxfId="49" totalsRowDxfId="30"/>
    <tableColumn id="10" xr3:uid="{B191D588-26E9-0A4C-B90D-8DD8CFDB2DC0}" uniqueName="10" name="annotated" queryTableFieldId="10" dataDxfId="48" totalsRowDxfId="29"/>
    <tableColumn id="11" xr3:uid="{7238DC96-94CF-C046-A024-C863D6633D65}" uniqueName="11" name="they_type" queryTableFieldId="11" dataDxfId="47" totalsRowDxfId="28"/>
    <tableColumn id="12" xr3:uid="{E51901A3-7BEF-824B-99E6-CB6F00D9A3E7}" uniqueName="12" name="context_dependent" queryTableFieldId="12" dataDxfId="46" totalsRowDxfId="27"/>
    <tableColumn id="20" xr3:uid="{0F67A4F9-6204-E246-B0C5-A1EFD8F8DEB0}" uniqueName="20" name="context_accessed" queryTableFieldId="20" dataDxfId="38" totalsRowDxfId="26">
      <calculatedColumnFormula>IF(LEFT(results_context_via_permalink_gpt_5_2025_08_07_with_justification_run1[[#This Row],[LLM_response]], 21)="CONTEXT_ACCESSED: yes","X","")</calculatedColumnFormula>
    </tableColumn>
    <tableColumn id="13" xr3:uid="{32593439-67BA-A145-9C85-F4199B91D6A6}" uniqueName="13" name="comment" queryTableFieldId="13" dataDxfId="45" totalsRowDxfId="25"/>
    <tableColumn id="14" xr3:uid="{8A4187CA-69CA-8B42-8EAA-2271B76609B0}" uniqueName="14" name="special_interest" queryTableFieldId="14" dataDxfId="44" totalsRowDxfId="24"/>
    <tableColumn id="15" xr3:uid="{9212DF63-4C41-7042-8857-21D7EEEE1935}" uniqueName="15" name="referent_outside" queryTableFieldId="15" dataDxfId="43" totalsRowDxfId="23"/>
    <tableColumn id="16" xr3:uid="{06304580-0EFB-764F-9B0A-20BFFA48C2D7}" uniqueName="16" name="LLM_response" queryTableFieldId="16" dataDxfId="42" totalsRowDxfId="22"/>
    <tableColumn id="17" xr3:uid="{D5971866-80AA-B943-B126-A244DB979ED6}" uniqueName="17" name="LLM_annotation" queryTableFieldId="17" dataDxfId="41" totalsRowDxfId="21"/>
    <tableColumn id="18" xr3:uid="{80C8B680-4FD9-5940-A24D-A47EF36970F7}" uniqueName="18" name="correct?" queryTableFieldId="18" dataDxfId="40" totalsRowDxfId="20"/>
    <tableColumn id="19" xr3:uid="{700FE5AB-8419-694D-8DC7-A9C725A54025}" uniqueName="19" name="qualitative_assessment" queryTableFieldId="19" dataDxfId="39" totalsRow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A56804B-CCD2-A14D-8465-6BFE3602FF7E}" name="results_context_via_permalink_gpt_5_2025_08_07_with_justification_run1__2" displayName="results_context_via_permalink_gpt_5_2025_08_07_with_justification_run1__2" ref="A1:T175" tableType="queryTable" totalsRowShown="0">
  <autoFilter ref="A1:T175" xr:uid="{6A56804B-CCD2-A14D-8465-6BFE3602FF7E}"/>
  <tableColumns count="20">
    <tableColumn id="1" xr3:uid="{FA24DE00-12FE-8C48-A607-F194D4CBE3B3}" uniqueName="1" name="ID" queryTableFieldId="1" dataDxfId="18"/>
    <tableColumn id="2" xr3:uid="{41011D29-F04D-D74B-8964-A60D849EC481}" uniqueName="2" name="span" queryTableFieldId="2" dataDxfId="17"/>
    <tableColumn id="3" xr3:uid="{527C5326-360B-5A4C-A4CA-4390B4044253}" uniqueName="3" name="comment_body" queryTableFieldId="3" dataDxfId="16"/>
    <tableColumn id="4" xr3:uid="{1CA481F4-5C95-4F47-A2C0-29986C3F7755}" uniqueName="4" name="permalink" queryTableFieldId="4" dataDxfId="15"/>
    <tableColumn id="5" xr3:uid="{918381C7-5948-E242-A776-F13B194B5212}" uniqueName="5" name="subreddit" queryTableFieldId="5" dataDxfId="14"/>
    <tableColumn id="6" xr3:uid="{3CABE1CF-BC25-5647-80BA-867CE78D27FE}" uniqueName="6" name="username" queryTableFieldId="6" dataDxfId="13"/>
    <tableColumn id="7" xr3:uid="{B216329F-3E7D-094C-892A-28310146220E}" uniqueName="7" name="user_flair" queryTableFieldId="7" dataDxfId="12"/>
    <tableColumn id="8" xr3:uid="{B66488DA-C7B1-A743-901D-9D46143A3569}" uniqueName="8" name="created_utc" queryTableFieldId="8"/>
    <tableColumn id="9" xr3:uid="{89038271-E7A2-B149-ADBA-06B0DF805256}" uniqueName="9" name="they_form" queryTableFieldId="9" dataDxfId="11"/>
    <tableColumn id="10" xr3:uid="{BA77568C-E199-B24F-BBAA-4EE2CB169B23}" uniqueName="10" name="annotated" queryTableFieldId="10" dataDxfId="10"/>
    <tableColumn id="11" xr3:uid="{5FCF7994-4B78-6445-9C65-C32CA2764A5A}" uniqueName="11" name="they_type" queryTableFieldId="11" dataDxfId="9"/>
    <tableColumn id="12" xr3:uid="{A9A8B80E-3679-A447-B80F-294AFA1B759D}" uniqueName="12" name="context_dependent" queryTableFieldId="12" dataDxfId="8"/>
    <tableColumn id="20" xr3:uid="{2E4B0B09-980E-B540-89AC-76685795F761}" uniqueName="20" name="context_accessed" queryTableFieldId="20" dataDxfId="0">
      <calculatedColumnFormula>IF(LEFT(results_context_via_permalink_gpt_5_2025_08_07_with_justification_run1__2[[#This Row],[LLM_response]],21)="CONTEXT_ACCESSED: yes","X","")</calculatedColumnFormula>
    </tableColumn>
    <tableColumn id="13" xr3:uid="{DC6963E5-76F8-0347-AA4E-5808134430C4}" uniqueName="13" name="comment" queryTableFieldId="13" dataDxfId="7"/>
    <tableColumn id="14" xr3:uid="{273A2610-861D-CF4A-9DAF-8476C48C34A8}" uniqueName="14" name="special_interest" queryTableFieldId="14" dataDxfId="6"/>
    <tableColumn id="15" xr3:uid="{7C1D8DF3-0B4F-544B-A689-4F410181B4D3}" uniqueName="15" name="referent_outside" queryTableFieldId="15" dataDxfId="5"/>
    <tableColumn id="16" xr3:uid="{95387416-B4AA-6B49-98F1-C5FEB9158DFB}" uniqueName="16" name="LLM_response" queryTableFieldId="16" dataDxfId="4"/>
    <tableColumn id="17" xr3:uid="{099050E0-D063-5F44-ADE5-C644D0BD1C88}" uniqueName="17" name="LLM_annotation" queryTableFieldId="17" dataDxfId="3"/>
    <tableColumn id="18" xr3:uid="{A8E208B4-A658-6A41-8664-3607C71882C9}" uniqueName="18" name="correct?" queryTableFieldId="18" dataDxfId="2"/>
    <tableColumn id="19" xr3:uid="{C8BE08EA-E352-A14A-A01E-24E18C4282AC}" uniqueName="19" name="qualitative_assessment" queryTableFieldId="19" dataDxfId="1"/>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247BA-5217-5C4E-90D2-C8461C395582}">
  <dimension ref="A1:T184"/>
  <sheetViews>
    <sheetView tabSelected="1" topLeftCell="G1" workbookViewId="0">
      <selection activeCell="L5" sqref="L5"/>
    </sheetView>
  </sheetViews>
  <sheetFormatPr baseColWidth="10" defaultRowHeight="16" x14ac:dyDescent="0.2"/>
  <cols>
    <col min="1" max="1" width="16" bestFit="1" customWidth="1"/>
    <col min="2" max="2" width="11" bestFit="1" customWidth="1"/>
    <col min="3" max="4" width="80.6640625" bestFit="1" customWidth="1"/>
    <col min="5" max="5" width="21" bestFit="1" customWidth="1"/>
    <col min="6" max="6" width="23.6640625" bestFit="1" customWidth="1"/>
    <col min="7" max="7" width="36" bestFit="1" customWidth="1"/>
    <col min="8" max="8" width="13.5" bestFit="1" customWidth="1"/>
    <col min="9" max="10" width="12" bestFit="1" customWidth="1"/>
    <col min="11" max="11" width="11.83203125" bestFit="1" customWidth="1"/>
    <col min="12" max="12" width="19.5" bestFit="1" customWidth="1"/>
    <col min="13" max="13" width="18.83203125" bestFit="1" customWidth="1"/>
    <col min="14" max="14" width="11.6640625" bestFit="1" customWidth="1"/>
    <col min="15" max="15" width="17" bestFit="1" customWidth="1"/>
    <col min="16" max="16" width="17.33203125" bestFit="1" customWidth="1"/>
    <col min="17" max="17" width="80.6640625" bestFit="1" customWidth="1"/>
    <col min="18" max="18" width="16.83203125" bestFit="1" customWidth="1"/>
    <col min="19" max="19" width="10.6640625" bestFit="1" customWidth="1"/>
    <col min="20" max="20" width="23.6640625" bestFit="1" customWidth="1"/>
  </cols>
  <sheetData>
    <row r="1" spans="1:20" x14ac:dyDescent="0.2">
      <c r="A1" t="s">
        <v>0</v>
      </c>
      <c r="B1" t="s">
        <v>1</v>
      </c>
      <c r="C1" t="s">
        <v>2</v>
      </c>
      <c r="D1" t="s">
        <v>3</v>
      </c>
      <c r="E1" t="s">
        <v>4</v>
      </c>
      <c r="F1" t="s">
        <v>5</v>
      </c>
      <c r="G1" t="s">
        <v>6</v>
      </c>
      <c r="H1" t="s">
        <v>7</v>
      </c>
      <c r="I1" t="s">
        <v>8</v>
      </c>
      <c r="J1" t="s">
        <v>9</v>
      </c>
      <c r="K1" t="s">
        <v>10</v>
      </c>
      <c r="L1" t="s">
        <v>11</v>
      </c>
      <c r="M1" t="s">
        <v>1207</v>
      </c>
      <c r="N1" t="s">
        <v>12</v>
      </c>
      <c r="O1" t="s">
        <v>13</v>
      </c>
      <c r="P1" t="s">
        <v>14</v>
      </c>
      <c r="Q1" t="s">
        <v>15</v>
      </c>
      <c r="R1" t="s">
        <v>16</v>
      </c>
      <c r="S1" t="s">
        <v>17</v>
      </c>
      <c r="T1" t="s">
        <v>18</v>
      </c>
    </row>
    <row r="2" spans="1:20" x14ac:dyDescent="0.2">
      <c r="A2" s="1" t="s">
        <v>19</v>
      </c>
      <c r="B2" s="1" t="s">
        <v>20</v>
      </c>
      <c r="C2" s="1" t="s">
        <v>21</v>
      </c>
      <c r="D2" s="1" t="s">
        <v>22</v>
      </c>
      <c r="E2" s="1" t="s">
        <v>23</v>
      </c>
      <c r="F2" s="1" t="s">
        <v>24</v>
      </c>
      <c r="G2" s="1" t="s">
        <v>25</v>
      </c>
      <c r="H2">
        <v>16652730410</v>
      </c>
      <c r="I2" s="1" t="s">
        <v>26</v>
      </c>
      <c r="J2" s="1" t="s">
        <v>27</v>
      </c>
      <c r="K2" s="1" t="s">
        <v>28</v>
      </c>
      <c r="L2" s="1" t="s">
        <v>25</v>
      </c>
      <c r="M2" s="1" t="str">
        <f>IF(LEFT(results_context_via_permalink_gpt_5_2025_08_07_with_justification_run1[[#This Row],[LLM_response]], 21)="CONTEXT_ACCESSED: yes","X","")</f>
        <v/>
      </c>
      <c r="N2" s="1" t="s">
        <v>25</v>
      </c>
      <c r="O2" s="1" t="s">
        <v>25</v>
      </c>
      <c r="P2" s="1" t="s">
        <v>25</v>
      </c>
      <c r="Q2" s="1" t="s">
        <v>179</v>
      </c>
      <c r="R2" s="1" t="s">
        <v>28</v>
      </c>
      <c r="S2" s="1" t="str">
        <f>IF(results_context_via_permalink_gpt_5_2025_08_07_with_justification_run1[[#This Row],[they_type]]=results_context_via_permalink_gpt_5_2025_08_07_with_justification_run1[[#This Row],[LLM_annotation]],"X","")</f>
        <v>X</v>
      </c>
      <c r="T2" s="1" t="s">
        <v>25</v>
      </c>
    </row>
    <row r="3" spans="1:20" x14ac:dyDescent="0.2">
      <c r="A3" s="1" t="s">
        <v>29</v>
      </c>
      <c r="B3" s="1" t="s">
        <v>30</v>
      </c>
      <c r="C3" s="1" t="s">
        <v>31</v>
      </c>
      <c r="D3" s="1" t="s">
        <v>32</v>
      </c>
      <c r="E3" s="1" t="s">
        <v>33</v>
      </c>
      <c r="F3" s="1" t="s">
        <v>34</v>
      </c>
      <c r="G3" s="1" t="s">
        <v>25</v>
      </c>
      <c r="H3">
        <v>13274961680</v>
      </c>
      <c r="I3" s="1" t="s">
        <v>35</v>
      </c>
      <c r="J3" s="1" t="s">
        <v>27</v>
      </c>
      <c r="K3" s="1" t="s">
        <v>36</v>
      </c>
      <c r="L3" s="1" t="s">
        <v>25</v>
      </c>
      <c r="M3" s="1" t="str">
        <f>IF(LEFT(results_context_via_permalink_gpt_5_2025_08_07_with_justification_run1[[#This Row],[LLM_response]], 21)="CONTEXT_ACCESSED: yes","X","")</f>
        <v/>
      </c>
      <c r="N3" s="1" t="s">
        <v>25</v>
      </c>
      <c r="O3" s="1" t="s">
        <v>25</v>
      </c>
      <c r="P3" s="1" t="s">
        <v>25</v>
      </c>
      <c r="Q3" s="1" t="s">
        <v>180</v>
      </c>
      <c r="R3" s="1" t="s">
        <v>28</v>
      </c>
      <c r="S3" s="1" t="str">
        <f>IF(results_context_via_permalink_gpt_5_2025_08_07_with_justification_run1[[#This Row],[they_type]]=results_context_via_permalink_gpt_5_2025_08_07_with_justification_run1[[#This Row],[LLM_annotation]],"X","")</f>
        <v/>
      </c>
      <c r="T3" s="1" t="s">
        <v>25</v>
      </c>
    </row>
    <row r="4" spans="1:20" x14ac:dyDescent="0.2">
      <c r="A4" s="1" t="s">
        <v>37</v>
      </c>
      <c r="B4" s="1" t="s">
        <v>38</v>
      </c>
      <c r="C4" s="1" t="s">
        <v>39</v>
      </c>
      <c r="D4" s="1" t="s">
        <v>40</v>
      </c>
      <c r="E4" s="1" t="s">
        <v>23</v>
      </c>
      <c r="F4" s="1" t="s">
        <v>41</v>
      </c>
      <c r="G4" s="1" t="s">
        <v>25</v>
      </c>
      <c r="H4">
        <v>16652762880</v>
      </c>
      <c r="I4" s="1" t="s">
        <v>42</v>
      </c>
      <c r="J4" s="1" t="s">
        <v>27</v>
      </c>
      <c r="K4" s="1" t="s">
        <v>28</v>
      </c>
      <c r="L4" s="1" t="s">
        <v>25</v>
      </c>
      <c r="M4" s="1" t="str">
        <f>IF(LEFT(results_context_via_permalink_gpt_5_2025_08_07_with_justification_run1[[#This Row],[LLM_response]], 21)="CONTEXT_ACCESSED: yes","X","")</f>
        <v/>
      </c>
      <c r="N4" s="1" t="s">
        <v>25</v>
      </c>
      <c r="O4" s="1" t="s">
        <v>25</v>
      </c>
      <c r="P4" s="1" t="s">
        <v>25</v>
      </c>
      <c r="Q4" s="1" t="s">
        <v>181</v>
      </c>
      <c r="R4" s="1" t="s">
        <v>28</v>
      </c>
      <c r="S4" s="1" t="str">
        <f>IF(results_context_via_permalink_gpt_5_2025_08_07_with_justification_run1[[#This Row],[they_type]]=results_context_via_permalink_gpt_5_2025_08_07_with_justification_run1[[#This Row],[LLM_annotation]],"X","")</f>
        <v>X</v>
      </c>
      <c r="T4" s="1" t="s">
        <v>25</v>
      </c>
    </row>
    <row r="5" spans="1:20" x14ac:dyDescent="0.2">
      <c r="A5" s="1" t="s">
        <v>43</v>
      </c>
      <c r="B5" s="1" t="s">
        <v>44</v>
      </c>
      <c r="C5" s="1" t="s">
        <v>45</v>
      </c>
      <c r="D5" s="1" t="s">
        <v>46</v>
      </c>
      <c r="E5" s="1" t="s">
        <v>47</v>
      </c>
      <c r="F5" s="1" t="s">
        <v>48</v>
      </c>
      <c r="G5" s="1" t="s">
        <v>25</v>
      </c>
      <c r="H5">
        <v>13277546000</v>
      </c>
      <c r="I5" s="1" t="s">
        <v>49</v>
      </c>
      <c r="J5" s="1" t="s">
        <v>27</v>
      </c>
      <c r="K5" s="1" t="s">
        <v>36</v>
      </c>
      <c r="L5" s="1" t="s">
        <v>25</v>
      </c>
      <c r="M5" s="1" t="str">
        <f>IF(LEFT(results_context_via_permalink_gpt_5_2025_08_07_with_justification_run1[[#This Row],[LLM_response]], 21)="CONTEXT_ACCESSED: yes","X","")</f>
        <v/>
      </c>
      <c r="N5" s="1" t="s">
        <v>25</v>
      </c>
      <c r="O5" s="1" t="s">
        <v>25</v>
      </c>
      <c r="P5" s="1" t="s">
        <v>25</v>
      </c>
      <c r="Q5" s="1" t="s">
        <v>182</v>
      </c>
      <c r="R5" s="1" t="s">
        <v>36</v>
      </c>
      <c r="S5" s="1" t="str">
        <f>IF(results_context_via_permalink_gpt_5_2025_08_07_with_justification_run1[[#This Row],[they_type]]=results_context_via_permalink_gpt_5_2025_08_07_with_justification_run1[[#This Row],[LLM_annotation]],"X","")</f>
        <v>X</v>
      </c>
      <c r="T5" s="1" t="s">
        <v>25</v>
      </c>
    </row>
    <row r="6" spans="1:20" x14ac:dyDescent="0.2">
      <c r="A6" s="1" t="s">
        <v>50</v>
      </c>
      <c r="B6" s="1" t="s">
        <v>51</v>
      </c>
      <c r="C6" s="1" t="s">
        <v>52</v>
      </c>
      <c r="D6" s="1" t="s">
        <v>53</v>
      </c>
      <c r="E6" s="1" t="s">
        <v>54</v>
      </c>
      <c r="F6" s="1" t="s">
        <v>55</v>
      </c>
      <c r="G6" s="1" t="s">
        <v>25</v>
      </c>
      <c r="H6">
        <v>16653616180</v>
      </c>
      <c r="I6" s="1" t="s">
        <v>42</v>
      </c>
      <c r="J6" s="1" t="s">
        <v>27</v>
      </c>
      <c r="K6" s="1" t="s">
        <v>36</v>
      </c>
      <c r="L6" s="1" t="s">
        <v>25</v>
      </c>
      <c r="M6" s="1" t="str">
        <f>IF(LEFT(results_context_via_permalink_gpt_5_2025_08_07_with_justification_run1[[#This Row],[LLM_response]], 21)="CONTEXT_ACCESSED: yes","X","")</f>
        <v/>
      </c>
      <c r="N6" s="1" t="s">
        <v>25</v>
      </c>
      <c r="O6" s="1" t="s">
        <v>25</v>
      </c>
      <c r="P6" s="1" t="s">
        <v>25</v>
      </c>
      <c r="Q6" s="1" t="s">
        <v>183</v>
      </c>
      <c r="R6" s="1" t="s">
        <v>36</v>
      </c>
      <c r="S6" s="1" t="str">
        <f>IF(results_context_via_permalink_gpt_5_2025_08_07_with_justification_run1[[#This Row],[they_type]]=results_context_via_permalink_gpt_5_2025_08_07_with_justification_run1[[#This Row],[LLM_annotation]],"X","")</f>
        <v>X</v>
      </c>
      <c r="T6" s="1" t="s">
        <v>25</v>
      </c>
    </row>
    <row r="7" spans="1:20" x14ac:dyDescent="0.2">
      <c r="A7" s="1" t="s">
        <v>56</v>
      </c>
      <c r="B7" s="1" t="s">
        <v>57</v>
      </c>
      <c r="C7" s="1" t="s">
        <v>58</v>
      </c>
      <c r="D7" s="1" t="s">
        <v>59</v>
      </c>
      <c r="E7" s="1" t="s">
        <v>47</v>
      </c>
      <c r="F7" s="1" t="s">
        <v>60</v>
      </c>
      <c r="G7" s="1" t="s">
        <v>25</v>
      </c>
      <c r="H7">
        <v>13278188540</v>
      </c>
      <c r="I7" s="1" t="s">
        <v>49</v>
      </c>
      <c r="J7" s="1" t="s">
        <v>27</v>
      </c>
      <c r="K7" s="1" t="s">
        <v>36</v>
      </c>
      <c r="L7" s="1" t="s">
        <v>25</v>
      </c>
      <c r="M7" s="1" t="str">
        <f>IF(LEFT(results_context_via_permalink_gpt_5_2025_08_07_with_justification_run1[[#This Row],[LLM_response]], 21)="CONTEXT_ACCESSED: yes","X","")</f>
        <v/>
      </c>
      <c r="N7" s="1" t="s">
        <v>25</v>
      </c>
      <c r="O7" s="1" t="s">
        <v>25</v>
      </c>
      <c r="P7" s="1" t="s">
        <v>25</v>
      </c>
      <c r="Q7" s="1" t="s">
        <v>184</v>
      </c>
      <c r="R7" s="1" t="s">
        <v>36</v>
      </c>
      <c r="S7" s="1" t="str">
        <f>IF(results_context_via_permalink_gpt_5_2025_08_07_with_justification_run1[[#This Row],[they_type]]=results_context_via_permalink_gpt_5_2025_08_07_with_justification_run1[[#This Row],[LLM_annotation]],"X","")</f>
        <v>X</v>
      </c>
      <c r="T7" s="1" t="s">
        <v>25</v>
      </c>
    </row>
    <row r="8" spans="1:20" x14ac:dyDescent="0.2">
      <c r="A8" s="1" t="s">
        <v>61</v>
      </c>
      <c r="B8" s="1" t="s">
        <v>62</v>
      </c>
      <c r="C8" s="1" t="s">
        <v>63</v>
      </c>
      <c r="D8" s="1" t="s">
        <v>64</v>
      </c>
      <c r="E8" s="1" t="s">
        <v>65</v>
      </c>
      <c r="F8" s="1" t="s">
        <v>66</v>
      </c>
      <c r="G8" s="1" t="s">
        <v>25</v>
      </c>
      <c r="H8">
        <v>16653996170</v>
      </c>
      <c r="I8" s="1" t="s">
        <v>26</v>
      </c>
      <c r="J8" s="1" t="s">
        <v>27</v>
      </c>
      <c r="K8" s="1" t="s">
        <v>28</v>
      </c>
      <c r="L8" s="1" t="s">
        <v>25</v>
      </c>
      <c r="M8" s="1" t="str">
        <f>IF(LEFT(results_context_via_permalink_gpt_5_2025_08_07_with_justification_run1[[#This Row],[LLM_response]], 21)="CONTEXT_ACCESSED: yes","X","")</f>
        <v/>
      </c>
      <c r="N8" s="1" t="s">
        <v>25</v>
      </c>
      <c r="O8" s="1" t="s">
        <v>25</v>
      </c>
      <c r="P8" s="1" t="s">
        <v>25</v>
      </c>
      <c r="Q8" s="1" t="s">
        <v>185</v>
      </c>
      <c r="R8" s="1" t="s">
        <v>28</v>
      </c>
      <c r="S8" s="1" t="str">
        <f>IF(results_context_via_permalink_gpt_5_2025_08_07_with_justification_run1[[#This Row],[they_type]]=results_context_via_permalink_gpt_5_2025_08_07_with_justification_run1[[#This Row],[LLM_annotation]],"X","")</f>
        <v>X</v>
      </c>
      <c r="T8" s="1" t="s">
        <v>25</v>
      </c>
    </row>
    <row r="9" spans="1:20" x14ac:dyDescent="0.2">
      <c r="A9" s="1" t="s">
        <v>67</v>
      </c>
      <c r="B9" s="1" t="s">
        <v>68</v>
      </c>
      <c r="C9" s="1" t="s">
        <v>69</v>
      </c>
      <c r="D9" s="1" t="s">
        <v>70</v>
      </c>
      <c r="E9" s="1" t="s">
        <v>47</v>
      </c>
      <c r="F9" s="1" t="s">
        <v>34</v>
      </c>
      <c r="G9" s="1" t="s">
        <v>25</v>
      </c>
      <c r="H9">
        <v>13279045490</v>
      </c>
      <c r="I9" s="1" t="s">
        <v>49</v>
      </c>
      <c r="J9" s="1" t="s">
        <v>27</v>
      </c>
      <c r="K9" s="1" t="s">
        <v>36</v>
      </c>
      <c r="L9" s="1" t="s">
        <v>25</v>
      </c>
      <c r="M9" s="1" t="str">
        <f>IF(LEFT(results_context_via_permalink_gpt_5_2025_08_07_with_justification_run1[[#This Row],[LLM_response]], 21)="CONTEXT_ACCESSED: yes","X","")</f>
        <v/>
      </c>
      <c r="N9" s="1" t="s">
        <v>25</v>
      </c>
      <c r="O9" s="1" t="s">
        <v>25</v>
      </c>
      <c r="P9" s="1" t="s">
        <v>25</v>
      </c>
      <c r="Q9" s="1" t="s">
        <v>186</v>
      </c>
      <c r="R9" s="1" t="s">
        <v>36</v>
      </c>
      <c r="S9" s="1" t="str">
        <f>IF(results_context_via_permalink_gpt_5_2025_08_07_with_justification_run1[[#This Row],[they_type]]=results_context_via_permalink_gpt_5_2025_08_07_with_justification_run1[[#This Row],[LLM_annotation]],"X","")</f>
        <v>X</v>
      </c>
      <c r="T9" s="1" t="s">
        <v>25</v>
      </c>
    </row>
    <row r="10" spans="1:20" x14ac:dyDescent="0.2">
      <c r="A10" s="1" t="s">
        <v>71</v>
      </c>
      <c r="B10" s="1" t="s">
        <v>72</v>
      </c>
      <c r="C10" s="1" t="s">
        <v>73</v>
      </c>
      <c r="D10" s="1" t="s">
        <v>74</v>
      </c>
      <c r="E10" s="1" t="s">
        <v>54</v>
      </c>
      <c r="F10" s="1" t="s">
        <v>25</v>
      </c>
      <c r="G10" s="1" t="s">
        <v>25</v>
      </c>
      <c r="I10" s="1" t="s">
        <v>42</v>
      </c>
      <c r="J10" s="1" t="s">
        <v>27</v>
      </c>
      <c r="K10" s="1" t="s">
        <v>36</v>
      </c>
      <c r="L10" s="1" t="s">
        <v>25</v>
      </c>
      <c r="M10" s="1" t="str">
        <f>IF(LEFT(results_context_via_permalink_gpt_5_2025_08_07_with_justification_run1[[#This Row],[LLM_response]], 21)="CONTEXT_ACCESSED: yes","X","")</f>
        <v/>
      </c>
      <c r="N10" s="1" t="s">
        <v>25</v>
      </c>
      <c r="O10" s="1" t="s">
        <v>25</v>
      </c>
      <c r="P10" s="1" t="s">
        <v>25</v>
      </c>
      <c r="Q10" s="1" t="s">
        <v>187</v>
      </c>
      <c r="R10" s="1" t="s">
        <v>36</v>
      </c>
      <c r="S10" s="1" t="str">
        <f>IF(results_context_via_permalink_gpt_5_2025_08_07_with_justification_run1[[#This Row],[they_type]]=results_context_via_permalink_gpt_5_2025_08_07_with_justification_run1[[#This Row],[LLM_annotation]],"X","")</f>
        <v>X</v>
      </c>
      <c r="T10" s="1" t="s">
        <v>25</v>
      </c>
    </row>
    <row r="11" spans="1:20" x14ac:dyDescent="0.2">
      <c r="A11" s="1" t="s">
        <v>75</v>
      </c>
      <c r="B11" s="1" t="s">
        <v>76</v>
      </c>
      <c r="C11" s="1" t="s">
        <v>77</v>
      </c>
      <c r="D11" s="1" t="s">
        <v>78</v>
      </c>
      <c r="E11" s="1" t="s">
        <v>65</v>
      </c>
      <c r="F11" s="1" t="s">
        <v>79</v>
      </c>
      <c r="G11" s="1" t="s">
        <v>25</v>
      </c>
      <c r="H11">
        <v>16654214730</v>
      </c>
      <c r="I11" s="1" t="s">
        <v>42</v>
      </c>
      <c r="J11" s="1" t="s">
        <v>27</v>
      </c>
      <c r="K11" s="1" t="s">
        <v>28</v>
      </c>
      <c r="L11" s="1" t="s">
        <v>25</v>
      </c>
      <c r="M11" s="1" t="str">
        <f>IF(LEFT(results_context_via_permalink_gpt_5_2025_08_07_with_justification_run1[[#This Row],[LLM_response]], 21)="CONTEXT_ACCESSED: yes","X","")</f>
        <v/>
      </c>
      <c r="N11" s="1" t="s">
        <v>25</v>
      </c>
      <c r="O11" s="1" t="s">
        <v>27</v>
      </c>
      <c r="P11" s="1" t="s">
        <v>25</v>
      </c>
      <c r="Q11" s="1" t="s">
        <v>188</v>
      </c>
      <c r="R11" s="1" t="s">
        <v>28</v>
      </c>
      <c r="S11" s="1" t="str">
        <f>IF(results_context_via_permalink_gpt_5_2025_08_07_with_justification_run1[[#This Row],[they_type]]=results_context_via_permalink_gpt_5_2025_08_07_with_justification_run1[[#This Row],[LLM_annotation]],"X","")</f>
        <v>X</v>
      </c>
      <c r="T11" s="1" t="s">
        <v>25</v>
      </c>
    </row>
    <row r="12" spans="1:20" x14ac:dyDescent="0.2">
      <c r="A12" s="1" t="s">
        <v>80</v>
      </c>
      <c r="B12" s="1" t="s">
        <v>81</v>
      </c>
      <c r="C12" s="1" t="s">
        <v>82</v>
      </c>
      <c r="D12" s="1" t="s">
        <v>83</v>
      </c>
      <c r="E12" s="1" t="s">
        <v>54</v>
      </c>
      <c r="F12" s="1" t="s">
        <v>84</v>
      </c>
      <c r="G12" s="1" t="s">
        <v>25</v>
      </c>
      <c r="H12">
        <v>16654333710</v>
      </c>
      <c r="I12" s="1" t="s">
        <v>26</v>
      </c>
      <c r="J12" s="1" t="s">
        <v>27</v>
      </c>
      <c r="K12" s="1" t="s">
        <v>36</v>
      </c>
      <c r="L12" s="1" t="s">
        <v>25</v>
      </c>
      <c r="M12" s="1" t="str">
        <f>IF(LEFT(results_context_via_permalink_gpt_5_2025_08_07_with_justification_run1[[#This Row],[LLM_response]], 21)="CONTEXT_ACCESSED: yes","X","")</f>
        <v/>
      </c>
      <c r="N12" s="1" t="s">
        <v>25</v>
      </c>
      <c r="O12" s="1" t="s">
        <v>25</v>
      </c>
      <c r="P12" s="1" t="s">
        <v>25</v>
      </c>
      <c r="Q12" s="1" t="s">
        <v>189</v>
      </c>
      <c r="R12" s="1" t="s">
        <v>36</v>
      </c>
      <c r="S12" s="1" t="str">
        <f>IF(results_context_via_permalink_gpt_5_2025_08_07_with_justification_run1[[#This Row],[they_type]]=results_context_via_permalink_gpt_5_2025_08_07_with_justification_run1[[#This Row],[LLM_annotation]],"X","")</f>
        <v>X</v>
      </c>
      <c r="T12" s="1" t="s">
        <v>25</v>
      </c>
    </row>
    <row r="13" spans="1:20" x14ac:dyDescent="0.2">
      <c r="A13" s="1" t="s">
        <v>85</v>
      </c>
      <c r="B13" s="1" t="s">
        <v>86</v>
      </c>
      <c r="C13" s="1" t="s">
        <v>87</v>
      </c>
      <c r="D13" s="1" t="s">
        <v>88</v>
      </c>
      <c r="E13" s="1" t="s">
        <v>23</v>
      </c>
      <c r="F13" s="1" t="s">
        <v>89</v>
      </c>
      <c r="G13" s="1" t="s">
        <v>25</v>
      </c>
      <c r="H13">
        <v>13280102480</v>
      </c>
      <c r="I13" s="1" t="s">
        <v>35</v>
      </c>
      <c r="J13" s="1" t="s">
        <v>27</v>
      </c>
      <c r="K13" s="1" t="s">
        <v>28</v>
      </c>
      <c r="L13" s="1" t="s">
        <v>25</v>
      </c>
      <c r="M13" s="1" t="str">
        <f>IF(LEFT(results_context_via_permalink_gpt_5_2025_08_07_with_justification_run1[[#This Row],[LLM_response]], 21)="CONTEXT_ACCESSED: yes","X","")</f>
        <v/>
      </c>
      <c r="N13" s="1" t="s">
        <v>25</v>
      </c>
      <c r="O13" s="1" t="s">
        <v>25</v>
      </c>
      <c r="P13" s="1" t="s">
        <v>25</v>
      </c>
      <c r="Q13" s="1" t="s">
        <v>190</v>
      </c>
      <c r="R13" s="1" t="s">
        <v>28</v>
      </c>
      <c r="S13" s="1" t="str">
        <f>IF(results_context_via_permalink_gpt_5_2025_08_07_with_justification_run1[[#This Row],[they_type]]=results_context_via_permalink_gpt_5_2025_08_07_with_justification_run1[[#This Row],[LLM_annotation]],"X","")</f>
        <v>X</v>
      </c>
      <c r="T13" s="1" t="s">
        <v>25</v>
      </c>
    </row>
    <row r="14" spans="1:20" x14ac:dyDescent="0.2">
      <c r="A14" s="1" t="s">
        <v>90</v>
      </c>
      <c r="B14" s="1" t="s">
        <v>91</v>
      </c>
      <c r="C14" s="1" t="s">
        <v>92</v>
      </c>
      <c r="D14" s="1" t="s">
        <v>93</v>
      </c>
      <c r="E14" s="1" t="s">
        <v>54</v>
      </c>
      <c r="F14" s="1" t="s">
        <v>34</v>
      </c>
      <c r="G14" s="1" t="s">
        <v>25</v>
      </c>
      <c r="H14">
        <v>16654651070</v>
      </c>
      <c r="I14" s="1" t="s">
        <v>26</v>
      </c>
      <c r="J14" s="1" t="s">
        <v>27</v>
      </c>
      <c r="K14" s="1" t="s">
        <v>28</v>
      </c>
      <c r="L14" s="1" t="s">
        <v>25</v>
      </c>
      <c r="M14" s="1" t="str">
        <f>IF(LEFT(results_context_via_permalink_gpt_5_2025_08_07_with_justification_run1[[#This Row],[LLM_response]], 21)="CONTEXT_ACCESSED: yes","X","")</f>
        <v/>
      </c>
      <c r="N14" s="1" t="s">
        <v>25</v>
      </c>
      <c r="O14" s="1" t="s">
        <v>25</v>
      </c>
      <c r="P14" s="1" t="s">
        <v>25</v>
      </c>
      <c r="Q14" s="1" t="s">
        <v>191</v>
      </c>
      <c r="R14" s="1" t="s">
        <v>28</v>
      </c>
      <c r="S14" s="1" t="str">
        <f>IF(results_context_via_permalink_gpt_5_2025_08_07_with_justification_run1[[#This Row],[they_type]]=results_context_via_permalink_gpt_5_2025_08_07_with_justification_run1[[#This Row],[LLM_annotation]],"X","")</f>
        <v>X</v>
      </c>
      <c r="T14" s="1" t="s">
        <v>25</v>
      </c>
    </row>
    <row r="15" spans="1:20" x14ac:dyDescent="0.2">
      <c r="A15" s="1" t="s">
        <v>94</v>
      </c>
      <c r="B15" s="1" t="s">
        <v>95</v>
      </c>
      <c r="C15" s="1" t="s">
        <v>96</v>
      </c>
      <c r="D15" s="1" t="s">
        <v>97</v>
      </c>
      <c r="E15" s="1" t="s">
        <v>65</v>
      </c>
      <c r="F15" s="1" t="s">
        <v>98</v>
      </c>
      <c r="G15" s="1" t="s">
        <v>99</v>
      </c>
      <c r="H15">
        <v>16654682690</v>
      </c>
      <c r="I15" s="1" t="s">
        <v>100</v>
      </c>
      <c r="J15" s="1" t="s">
        <v>27</v>
      </c>
      <c r="K15" s="1" t="s">
        <v>36</v>
      </c>
      <c r="L15" s="1" t="s">
        <v>25</v>
      </c>
      <c r="M15" s="1" t="str">
        <f>IF(LEFT(results_context_via_permalink_gpt_5_2025_08_07_with_justification_run1[[#This Row],[LLM_response]], 21)="CONTEXT_ACCESSED: yes","X","")</f>
        <v/>
      </c>
      <c r="N15" s="1" t="s">
        <v>25</v>
      </c>
      <c r="O15" s="1" t="s">
        <v>25</v>
      </c>
      <c r="P15" s="1" t="s">
        <v>25</v>
      </c>
      <c r="Q15" s="1" t="s">
        <v>192</v>
      </c>
      <c r="R15" s="1" t="s">
        <v>36</v>
      </c>
      <c r="S15" s="1" t="str">
        <f>IF(results_context_via_permalink_gpt_5_2025_08_07_with_justification_run1[[#This Row],[they_type]]=results_context_via_permalink_gpt_5_2025_08_07_with_justification_run1[[#This Row],[LLM_annotation]],"X","")</f>
        <v>X</v>
      </c>
      <c r="T15" s="1" t="s">
        <v>25</v>
      </c>
    </row>
    <row r="16" spans="1:20" x14ac:dyDescent="0.2">
      <c r="A16" s="1" t="s">
        <v>101</v>
      </c>
      <c r="B16" s="1" t="s">
        <v>102</v>
      </c>
      <c r="C16" s="1" t="s">
        <v>103</v>
      </c>
      <c r="D16" s="1" t="s">
        <v>104</v>
      </c>
      <c r="E16" s="1" t="s">
        <v>65</v>
      </c>
      <c r="F16" s="1" t="s">
        <v>105</v>
      </c>
      <c r="G16" s="1" t="s">
        <v>25</v>
      </c>
      <c r="H16">
        <v>16655039650</v>
      </c>
      <c r="I16" s="1" t="s">
        <v>42</v>
      </c>
      <c r="J16" s="1" t="s">
        <v>27</v>
      </c>
      <c r="K16" s="1" t="s">
        <v>36</v>
      </c>
      <c r="L16" s="1" t="s">
        <v>25</v>
      </c>
      <c r="M16" s="1" t="str">
        <f>IF(LEFT(results_context_via_permalink_gpt_5_2025_08_07_with_justification_run1[[#This Row],[LLM_response]], 21)="CONTEXT_ACCESSED: yes","X","")</f>
        <v/>
      </c>
      <c r="N16" s="1" t="s">
        <v>25</v>
      </c>
      <c r="O16" s="1" t="s">
        <v>25</v>
      </c>
      <c r="P16" s="1" t="s">
        <v>25</v>
      </c>
      <c r="Q16" s="1" t="s">
        <v>193</v>
      </c>
      <c r="R16" s="1" t="s">
        <v>36</v>
      </c>
      <c r="S16" s="1" t="str">
        <f>IF(results_context_via_permalink_gpt_5_2025_08_07_with_justification_run1[[#This Row],[they_type]]=results_context_via_permalink_gpt_5_2025_08_07_with_justification_run1[[#This Row],[LLM_annotation]],"X","")</f>
        <v>X</v>
      </c>
      <c r="T16" s="1" t="s">
        <v>25</v>
      </c>
    </row>
    <row r="17" spans="1:20" x14ac:dyDescent="0.2">
      <c r="A17" s="1" t="s">
        <v>106</v>
      </c>
      <c r="B17" s="1" t="s">
        <v>107</v>
      </c>
      <c r="C17" s="1" t="s">
        <v>108</v>
      </c>
      <c r="D17" s="1" t="s">
        <v>109</v>
      </c>
      <c r="E17" s="1" t="s">
        <v>33</v>
      </c>
      <c r="F17" s="1" t="s">
        <v>110</v>
      </c>
      <c r="G17" s="1" t="s">
        <v>111</v>
      </c>
      <c r="H17">
        <v>13257675800</v>
      </c>
      <c r="I17" s="1" t="s">
        <v>49</v>
      </c>
      <c r="J17" s="1" t="s">
        <v>27</v>
      </c>
      <c r="K17" s="1" t="s">
        <v>36</v>
      </c>
      <c r="L17" s="1" t="s">
        <v>25</v>
      </c>
      <c r="M17" s="1" t="str">
        <f>IF(LEFT(results_context_via_permalink_gpt_5_2025_08_07_with_justification_run1[[#This Row],[LLM_response]], 21)="CONTEXT_ACCESSED: yes","X","")</f>
        <v/>
      </c>
      <c r="N17" s="1" t="s">
        <v>25</v>
      </c>
      <c r="O17" s="1" t="s">
        <v>25</v>
      </c>
      <c r="P17" s="1" t="s">
        <v>25</v>
      </c>
      <c r="Q17" s="1" t="s">
        <v>194</v>
      </c>
      <c r="R17" s="1" t="s">
        <v>28</v>
      </c>
      <c r="S17" s="1" t="str">
        <f>IF(results_context_via_permalink_gpt_5_2025_08_07_with_justification_run1[[#This Row],[they_type]]=results_context_via_permalink_gpt_5_2025_08_07_with_justification_run1[[#This Row],[LLM_annotation]],"X","")</f>
        <v/>
      </c>
      <c r="T17" s="1" t="s">
        <v>25</v>
      </c>
    </row>
    <row r="18" spans="1:20" x14ac:dyDescent="0.2">
      <c r="A18" s="1" t="s">
        <v>112</v>
      </c>
      <c r="B18" s="1" t="s">
        <v>113</v>
      </c>
      <c r="C18" s="1" t="s">
        <v>114</v>
      </c>
      <c r="D18" s="1" t="s">
        <v>115</v>
      </c>
      <c r="E18" s="1" t="s">
        <v>54</v>
      </c>
      <c r="F18" s="1" t="s">
        <v>116</v>
      </c>
      <c r="G18" s="1" t="s">
        <v>25</v>
      </c>
      <c r="H18">
        <v>16655761030</v>
      </c>
      <c r="I18" s="1" t="s">
        <v>42</v>
      </c>
      <c r="J18" s="1" t="s">
        <v>27</v>
      </c>
      <c r="K18" s="1" t="s">
        <v>36</v>
      </c>
      <c r="L18" s="1" t="s">
        <v>25</v>
      </c>
      <c r="M18" s="1" t="str">
        <f>IF(LEFT(results_context_via_permalink_gpt_5_2025_08_07_with_justification_run1[[#This Row],[LLM_response]], 21)="CONTEXT_ACCESSED: yes","X","")</f>
        <v/>
      </c>
      <c r="N18" s="1" t="s">
        <v>25</v>
      </c>
      <c r="O18" s="1" t="s">
        <v>25</v>
      </c>
      <c r="P18" s="1" t="s">
        <v>25</v>
      </c>
      <c r="Q18" s="1" t="s">
        <v>195</v>
      </c>
      <c r="R18" s="1" t="s">
        <v>36</v>
      </c>
      <c r="S18" s="1" t="str">
        <f>IF(results_context_via_permalink_gpt_5_2025_08_07_with_justification_run1[[#This Row],[they_type]]=results_context_via_permalink_gpt_5_2025_08_07_with_justification_run1[[#This Row],[LLM_annotation]],"X","")</f>
        <v>X</v>
      </c>
      <c r="T18" s="1" t="s">
        <v>25</v>
      </c>
    </row>
    <row r="19" spans="1:20" x14ac:dyDescent="0.2">
      <c r="A19" s="1" t="s">
        <v>117</v>
      </c>
      <c r="B19" s="1" t="s">
        <v>118</v>
      </c>
      <c r="C19" s="1" t="s">
        <v>119</v>
      </c>
      <c r="D19" s="1" t="s">
        <v>120</v>
      </c>
      <c r="E19" s="1" t="s">
        <v>47</v>
      </c>
      <c r="F19" s="1" t="s">
        <v>121</v>
      </c>
      <c r="G19" s="1" t="s">
        <v>122</v>
      </c>
      <c r="H19">
        <v>13286612850</v>
      </c>
      <c r="I19" s="1" t="s">
        <v>123</v>
      </c>
      <c r="J19" s="1" t="s">
        <v>27</v>
      </c>
      <c r="K19" s="1" t="s">
        <v>36</v>
      </c>
      <c r="L19" s="1" t="s">
        <v>25</v>
      </c>
      <c r="M19" s="1" t="str">
        <f>IF(LEFT(results_context_via_permalink_gpt_5_2025_08_07_with_justification_run1[[#This Row],[LLM_response]], 21)="CONTEXT_ACCESSED: yes","X","")</f>
        <v/>
      </c>
      <c r="N19" s="1" t="s">
        <v>25</v>
      </c>
      <c r="O19" s="1" t="s">
        <v>25</v>
      </c>
      <c r="P19" s="1" t="s">
        <v>25</v>
      </c>
      <c r="Q19" s="1" t="s">
        <v>196</v>
      </c>
      <c r="R19" s="1" t="s">
        <v>28</v>
      </c>
      <c r="S19" s="1" t="str">
        <f>IF(results_context_via_permalink_gpt_5_2025_08_07_with_justification_run1[[#This Row],[they_type]]=results_context_via_permalink_gpt_5_2025_08_07_with_justification_run1[[#This Row],[LLM_annotation]],"X","")</f>
        <v/>
      </c>
      <c r="T19" s="1" t="s">
        <v>25</v>
      </c>
    </row>
    <row r="20" spans="1:20" x14ac:dyDescent="0.2">
      <c r="A20" s="1" t="s">
        <v>124</v>
      </c>
      <c r="B20" s="1" t="s">
        <v>125</v>
      </c>
      <c r="C20" s="1" t="s">
        <v>126</v>
      </c>
      <c r="D20" s="1" t="s">
        <v>127</v>
      </c>
      <c r="E20" s="1" t="s">
        <v>128</v>
      </c>
      <c r="F20" s="1" t="s">
        <v>129</v>
      </c>
      <c r="G20" s="1" t="s">
        <v>130</v>
      </c>
      <c r="H20">
        <v>13258114520</v>
      </c>
      <c r="I20" s="1" t="s">
        <v>35</v>
      </c>
      <c r="J20" s="1" t="s">
        <v>27</v>
      </c>
      <c r="K20" s="1" t="s">
        <v>131</v>
      </c>
      <c r="L20" s="1" t="s">
        <v>25</v>
      </c>
      <c r="M20" s="1" t="str">
        <f>IF(LEFT(results_context_via_permalink_gpt_5_2025_08_07_with_justification_run1[[#This Row],[LLM_response]], 21)="CONTEXT_ACCESSED: yes","X","")</f>
        <v/>
      </c>
      <c r="N20" s="1" t="s">
        <v>25</v>
      </c>
      <c r="O20" s="1" t="s">
        <v>25</v>
      </c>
      <c r="P20" s="1" t="s">
        <v>25</v>
      </c>
      <c r="Q20" s="1" t="s">
        <v>197</v>
      </c>
      <c r="R20" s="1" t="s">
        <v>131</v>
      </c>
      <c r="S20" s="1" t="str">
        <f>IF(results_context_via_permalink_gpt_5_2025_08_07_with_justification_run1[[#This Row],[they_type]]=results_context_via_permalink_gpt_5_2025_08_07_with_justification_run1[[#This Row],[LLM_annotation]],"X","")</f>
        <v>X</v>
      </c>
      <c r="T20" s="1" t="s">
        <v>25</v>
      </c>
    </row>
    <row r="21" spans="1:20" x14ac:dyDescent="0.2">
      <c r="A21" s="1" t="s">
        <v>132</v>
      </c>
      <c r="B21" s="1" t="s">
        <v>133</v>
      </c>
      <c r="C21" s="1" t="s">
        <v>134</v>
      </c>
      <c r="D21" s="1" t="s">
        <v>135</v>
      </c>
      <c r="E21" s="1" t="s">
        <v>136</v>
      </c>
      <c r="F21" s="1" t="s">
        <v>137</v>
      </c>
      <c r="G21" s="1" t="s">
        <v>25</v>
      </c>
      <c r="H21">
        <v>16656211350</v>
      </c>
      <c r="I21" s="1" t="s">
        <v>26</v>
      </c>
      <c r="J21" s="1" t="s">
        <v>27</v>
      </c>
      <c r="K21" s="1" t="s">
        <v>28</v>
      </c>
      <c r="L21" s="1" t="s">
        <v>25</v>
      </c>
      <c r="M21" s="1" t="str">
        <f>IF(LEFT(results_context_via_permalink_gpt_5_2025_08_07_with_justification_run1[[#This Row],[LLM_response]], 21)="CONTEXT_ACCESSED: yes","X","")</f>
        <v>X</v>
      </c>
      <c r="N21" s="1" t="s">
        <v>25</v>
      </c>
      <c r="O21" s="1" t="s">
        <v>25</v>
      </c>
      <c r="P21" s="1" t="s">
        <v>25</v>
      </c>
      <c r="Q21" s="1" t="s">
        <v>198</v>
      </c>
      <c r="R21" s="1" t="s">
        <v>28</v>
      </c>
      <c r="S21" s="1" t="str">
        <f>IF(results_context_via_permalink_gpt_5_2025_08_07_with_justification_run1[[#This Row],[they_type]]=results_context_via_permalink_gpt_5_2025_08_07_with_justification_run1[[#This Row],[LLM_annotation]],"X","")</f>
        <v>X</v>
      </c>
      <c r="T21" s="1" t="s">
        <v>25</v>
      </c>
    </row>
    <row r="22" spans="1:20" x14ac:dyDescent="0.2">
      <c r="A22" s="1" t="s">
        <v>138</v>
      </c>
      <c r="B22" s="1" t="s">
        <v>139</v>
      </c>
      <c r="C22" s="1" t="s">
        <v>140</v>
      </c>
      <c r="D22" s="1" t="s">
        <v>141</v>
      </c>
      <c r="E22" s="1" t="s">
        <v>47</v>
      </c>
      <c r="F22" s="1" t="s">
        <v>142</v>
      </c>
      <c r="G22" s="1" t="s">
        <v>25</v>
      </c>
      <c r="H22">
        <v>13287274800</v>
      </c>
      <c r="I22" s="1" t="s">
        <v>123</v>
      </c>
      <c r="J22" s="1" t="s">
        <v>27</v>
      </c>
      <c r="K22" s="1" t="s">
        <v>36</v>
      </c>
      <c r="L22" s="1" t="s">
        <v>25</v>
      </c>
      <c r="M22" s="1" t="str">
        <f>IF(LEFT(results_context_via_permalink_gpt_5_2025_08_07_with_justification_run1[[#This Row],[LLM_response]], 21)="CONTEXT_ACCESSED: yes","X","")</f>
        <v/>
      </c>
      <c r="N22" s="1" t="s">
        <v>25</v>
      </c>
      <c r="O22" s="1" t="s">
        <v>25</v>
      </c>
      <c r="P22" s="1" t="s">
        <v>25</v>
      </c>
      <c r="Q22" s="1" t="s">
        <v>199</v>
      </c>
      <c r="R22" s="1" t="s">
        <v>36</v>
      </c>
      <c r="S22" s="1" t="str">
        <f>IF(results_context_via_permalink_gpt_5_2025_08_07_with_justification_run1[[#This Row],[they_type]]=results_context_via_permalink_gpt_5_2025_08_07_with_justification_run1[[#This Row],[LLM_annotation]],"X","")</f>
        <v>X</v>
      </c>
      <c r="T22" s="1" t="s">
        <v>25</v>
      </c>
    </row>
    <row r="23" spans="1:20" x14ac:dyDescent="0.2">
      <c r="A23" s="1" t="s">
        <v>143</v>
      </c>
      <c r="B23" s="1" t="s">
        <v>144</v>
      </c>
      <c r="C23" s="1" t="s">
        <v>145</v>
      </c>
      <c r="D23" s="1" t="s">
        <v>146</v>
      </c>
      <c r="E23" s="1" t="s">
        <v>54</v>
      </c>
      <c r="F23" s="1" t="s">
        <v>147</v>
      </c>
      <c r="G23" s="1" t="s">
        <v>25</v>
      </c>
      <c r="H23">
        <v>16656463140</v>
      </c>
      <c r="I23" s="1" t="s">
        <v>148</v>
      </c>
      <c r="J23" s="1" t="s">
        <v>27</v>
      </c>
      <c r="K23" s="1" t="s">
        <v>36</v>
      </c>
      <c r="L23" s="1" t="s">
        <v>27</v>
      </c>
      <c r="M23" s="1" t="str">
        <f>IF(LEFT(results_context_via_permalink_gpt_5_2025_08_07_with_justification_run1[[#This Row],[LLM_response]], 21)="CONTEXT_ACCESSED: yes","X","")</f>
        <v/>
      </c>
      <c r="N23" s="1" t="s">
        <v>25</v>
      </c>
      <c r="O23" s="1" t="s">
        <v>25</v>
      </c>
      <c r="P23" s="1" t="s">
        <v>25</v>
      </c>
      <c r="Q23" s="1" t="s">
        <v>200</v>
      </c>
      <c r="R23" s="1" t="s">
        <v>36</v>
      </c>
      <c r="S23" s="1" t="str">
        <f>IF(results_context_via_permalink_gpt_5_2025_08_07_with_justification_run1[[#This Row],[they_type]]=results_context_via_permalink_gpt_5_2025_08_07_with_justification_run1[[#This Row],[LLM_annotation]],"X","")</f>
        <v>X</v>
      </c>
      <c r="T23" s="1" t="s">
        <v>25</v>
      </c>
    </row>
    <row r="24" spans="1:20" x14ac:dyDescent="0.2">
      <c r="A24" s="1" t="s">
        <v>149</v>
      </c>
      <c r="B24" s="1" t="s">
        <v>150</v>
      </c>
      <c r="C24" s="1" t="s">
        <v>151</v>
      </c>
      <c r="D24" s="1" t="s">
        <v>152</v>
      </c>
      <c r="E24" s="1" t="s">
        <v>65</v>
      </c>
      <c r="F24" s="1" t="s">
        <v>25</v>
      </c>
      <c r="G24" s="1" t="s">
        <v>25</v>
      </c>
      <c r="I24" s="1" t="s">
        <v>26</v>
      </c>
      <c r="J24" s="1" t="s">
        <v>27</v>
      </c>
      <c r="K24" s="1" t="s">
        <v>28</v>
      </c>
      <c r="L24" s="1" t="s">
        <v>25</v>
      </c>
      <c r="M24" s="1" t="str">
        <f>IF(LEFT(results_context_via_permalink_gpt_5_2025_08_07_with_justification_run1[[#This Row],[LLM_response]], 21)="CONTEXT_ACCESSED: yes","X","")</f>
        <v/>
      </c>
      <c r="N24" s="1" t="s">
        <v>25</v>
      </c>
      <c r="O24" s="1" t="s">
        <v>25</v>
      </c>
      <c r="P24" s="1" t="s">
        <v>25</v>
      </c>
      <c r="Q24" s="1" t="s">
        <v>201</v>
      </c>
      <c r="R24" s="1" t="s">
        <v>36</v>
      </c>
      <c r="S24" s="1" t="str">
        <f>IF(results_context_via_permalink_gpt_5_2025_08_07_with_justification_run1[[#This Row],[they_type]]=results_context_via_permalink_gpt_5_2025_08_07_with_justification_run1[[#This Row],[LLM_annotation]],"X","")</f>
        <v/>
      </c>
      <c r="T24" s="1" t="s">
        <v>25</v>
      </c>
    </row>
    <row r="25" spans="1:20" x14ac:dyDescent="0.2">
      <c r="A25" s="1" t="s">
        <v>153</v>
      </c>
      <c r="B25" s="1" t="s">
        <v>154</v>
      </c>
      <c r="C25" s="1" t="s">
        <v>155</v>
      </c>
      <c r="D25" s="1" t="s">
        <v>156</v>
      </c>
      <c r="E25" s="1" t="s">
        <v>47</v>
      </c>
      <c r="F25" s="1" t="s">
        <v>157</v>
      </c>
      <c r="G25" s="1" t="s">
        <v>158</v>
      </c>
      <c r="H25">
        <v>13258295750</v>
      </c>
      <c r="I25" s="1" t="s">
        <v>49</v>
      </c>
      <c r="J25" s="1" t="s">
        <v>27</v>
      </c>
      <c r="K25" s="1" t="s">
        <v>131</v>
      </c>
      <c r="L25" s="1" t="s">
        <v>27</v>
      </c>
      <c r="M25" s="1" t="str">
        <f>IF(LEFT(results_context_via_permalink_gpt_5_2025_08_07_with_justification_run1[[#This Row],[LLM_response]], 21)="CONTEXT_ACCESSED: yes","X","")</f>
        <v>X</v>
      </c>
      <c r="N25" s="1" t="s">
        <v>25</v>
      </c>
      <c r="O25" s="1" t="s">
        <v>25</v>
      </c>
      <c r="P25" s="1" t="s">
        <v>27</v>
      </c>
      <c r="Q25" s="1" t="s">
        <v>202</v>
      </c>
      <c r="R25" s="1" t="s">
        <v>131</v>
      </c>
      <c r="S25" s="1" t="str">
        <f>IF(results_context_via_permalink_gpt_5_2025_08_07_with_justification_run1[[#This Row],[they_type]]=results_context_via_permalink_gpt_5_2025_08_07_with_justification_run1[[#This Row],[LLM_annotation]],"X","")</f>
        <v>X</v>
      </c>
      <c r="T25" s="1" t="s">
        <v>25</v>
      </c>
    </row>
    <row r="26" spans="1:20" x14ac:dyDescent="0.2">
      <c r="A26" s="1" t="s">
        <v>159</v>
      </c>
      <c r="B26" s="1" t="s">
        <v>160</v>
      </c>
      <c r="C26" s="1" t="s">
        <v>161</v>
      </c>
      <c r="D26" s="1" t="s">
        <v>162</v>
      </c>
      <c r="E26" s="1" t="s">
        <v>54</v>
      </c>
      <c r="F26" s="1" t="s">
        <v>163</v>
      </c>
      <c r="G26" s="1" t="s">
        <v>25</v>
      </c>
      <c r="H26">
        <v>16656693400</v>
      </c>
      <c r="I26" s="1" t="s">
        <v>42</v>
      </c>
      <c r="J26" s="1" t="s">
        <v>27</v>
      </c>
      <c r="K26" s="1" t="s">
        <v>28</v>
      </c>
      <c r="L26" s="1" t="s">
        <v>25</v>
      </c>
      <c r="M26" s="1" t="str">
        <f>IF(LEFT(results_context_via_permalink_gpt_5_2025_08_07_with_justification_run1[[#This Row],[LLM_response]], 21)="CONTEXT_ACCESSED: yes","X","")</f>
        <v/>
      </c>
      <c r="N26" s="1" t="s">
        <v>25</v>
      </c>
      <c r="O26" s="1" t="s">
        <v>27</v>
      </c>
      <c r="P26" s="1" t="s">
        <v>25</v>
      </c>
      <c r="Q26" s="1" t="s">
        <v>203</v>
      </c>
      <c r="R26" s="1" t="s">
        <v>28</v>
      </c>
      <c r="S26" s="1" t="str">
        <f>IF(results_context_via_permalink_gpt_5_2025_08_07_with_justification_run1[[#This Row],[they_type]]=results_context_via_permalink_gpt_5_2025_08_07_with_justification_run1[[#This Row],[LLM_annotation]],"X","")</f>
        <v>X</v>
      </c>
      <c r="T26" s="1" t="s">
        <v>25</v>
      </c>
    </row>
    <row r="27" spans="1:20" x14ac:dyDescent="0.2">
      <c r="A27" s="1" t="s">
        <v>164</v>
      </c>
      <c r="B27" s="1" t="s">
        <v>165</v>
      </c>
      <c r="C27" s="1" t="s">
        <v>166</v>
      </c>
      <c r="D27" s="1" t="s">
        <v>167</v>
      </c>
      <c r="E27" s="1" t="s">
        <v>65</v>
      </c>
      <c r="F27" s="1" t="s">
        <v>168</v>
      </c>
      <c r="G27" s="1" t="s">
        <v>25</v>
      </c>
      <c r="H27">
        <v>16656936160</v>
      </c>
      <c r="I27" s="1" t="s">
        <v>100</v>
      </c>
      <c r="J27" s="1" t="s">
        <v>27</v>
      </c>
      <c r="K27" s="1" t="s">
        <v>36</v>
      </c>
      <c r="L27" s="1" t="s">
        <v>27</v>
      </c>
      <c r="M27" s="1" t="str">
        <f>IF(LEFT(results_context_via_permalink_gpt_5_2025_08_07_with_justification_run1[[#This Row],[LLM_response]], 21)="CONTEXT_ACCESSED: yes","X","")</f>
        <v>X</v>
      </c>
      <c r="N27" s="1" t="s">
        <v>25</v>
      </c>
      <c r="O27" s="1" t="s">
        <v>25</v>
      </c>
      <c r="P27" s="1" t="s">
        <v>25</v>
      </c>
      <c r="Q27" s="1" t="s">
        <v>204</v>
      </c>
      <c r="R27" s="1" t="s">
        <v>28</v>
      </c>
      <c r="S27" s="1" t="str">
        <f>IF(results_context_via_permalink_gpt_5_2025_08_07_with_justification_run1[[#This Row],[they_type]]=results_context_via_permalink_gpt_5_2025_08_07_with_justification_run1[[#This Row],[LLM_annotation]],"X","")</f>
        <v/>
      </c>
      <c r="T27" s="1" t="s">
        <v>25</v>
      </c>
    </row>
    <row r="28" spans="1:20" x14ac:dyDescent="0.2">
      <c r="A28" s="1" t="s">
        <v>169</v>
      </c>
      <c r="B28" s="1" t="s">
        <v>170</v>
      </c>
      <c r="C28" s="1" t="s">
        <v>171</v>
      </c>
      <c r="D28" s="1" t="s">
        <v>172</v>
      </c>
      <c r="E28" s="1" t="s">
        <v>47</v>
      </c>
      <c r="F28" s="1" t="s">
        <v>173</v>
      </c>
      <c r="G28" s="1" t="s">
        <v>25</v>
      </c>
      <c r="H28">
        <v>13293878610</v>
      </c>
      <c r="I28" s="1" t="s">
        <v>123</v>
      </c>
      <c r="J28" s="1" t="s">
        <v>27</v>
      </c>
      <c r="K28" s="1" t="s">
        <v>36</v>
      </c>
      <c r="L28" s="1" t="s">
        <v>27</v>
      </c>
      <c r="M28" s="1" t="str">
        <f>IF(LEFT(results_context_via_permalink_gpt_5_2025_08_07_with_justification_run1[[#This Row],[LLM_response]], 21)="CONTEXT_ACCESSED: yes","X","")</f>
        <v/>
      </c>
      <c r="N28" s="1" t="s">
        <v>25</v>
      </c>
      <c r="O28" s="1" t="s">
        <v>25</v>
      </c>
      <c r="P28" s="1" t="s">
        <v>25</v>
      </c>
      <c r="Q28" s="1" t="s">
        <v>205</v>
      </c>
      <c r="R28" s="1" t="s">
        <v>28</v>
      </c>
      <c r="S28" s="1" t="str">
        <f>IF(results_context_via_permalink_gpt_5_2025_08_07_with_justification_run1[[#This Row],[they_type]]=results_context_via_permalink_gpt_5_2025_08_07_with_justification_run1[[#This Row],[LLM_annotation]],"X","")</f>
        <v/>
      </c>
      <c r="T28" s="1" t="s">
        <v>25</v>
      </c>
    </row>
    <row r="29" spans="1:20" x14ac:dyDescent="0.2">
      <c r="A29" s="1" t="s">
        <v>174</v>
      </c>
      <c r="B29" s="1" t="s">
        <v>175</v>
      </c>
      <c r="C29" s="1" t="s">
        <v>176</v>
      </c>
      <c r="D29" s="1" t="s">
        <v>177</v>
      </c>
      <c r="E29" s="1" t="s">
        <v>65</v>
      </c>
      <c r="F29" s="1" t="s">
        <v>178</v>
      </c>
      <c r="G29" s="1" t="s">
        <v>25</v>
      </c>
      <c r="H29">
        <v>16658509840</v>
      </c>
      <c r="I29" s="1" t="s">
        <v>26</v>
      </c>
      <c r="J29" s="1" t="s">
        <v>27</v>
      </c>
      <c r="K29" s="1" t="s">
        <v>28</v>
      </c>
      <c r="L29" s="1" t="s">
        <v>25</v>
      </c>
      <c r="M29" s="1" t="str">
        <f>IF(LEFT(results_context_via_permalink_gpt_5_2025_08_07_with_justification_run1[[#This Row],[LLM_response]], 21)="CONTEXT_ACCESSED: yes","X","")</f>
        <v/>
      </c>
      <c r="N29" s="1" t="s">
        <v>25</v>
      </c>
      <c r="O29" s="1" t="s">
        <v>25</v>
      </c>
      <c r="P29" s="1" t="s">
        <v>25</v>
      </c>
      <c r="Q29" s="1" t="s">
        <v>206</v>
      </c>
      <c r="R29" s="1" t="s">
        <v>28</v>
      </c>
      <c r="S29" s="1" t="str">
        <f>IF(results_context_via_permalink_gpt_5_2025_08_07_with_justification_run1[[#This Row],[they_type]]=results_context_via_permalink_gpt_5_2025_08_07_with_justification_run1[[#This Row],[LLM_annotation]],"X","")</f>
        <v>X</v>
      </c>
      <c r="T29" s="1" t="s">
        <v>25</v>
      </c>
    </row>
    <row r="30" spans="1:20" x14ac:dyDescent="0.2">
      <c r="A30" s="1" t="s">
        <v>207</v>
      </c>
      <c r="B30" s="1" t="s">
        <v>208</v>
      </c>
      <c r="C30" s="1" t="s">
        <v>209</v>
      </c>
      <c r="D30" s="1" t="s">
        <v>210</v>
      </c>
      <c r="E30" s="1" t="s">
        <v>128</v>
      </c>
      <c r="F30" s="1" t="s">
        <v>211</v>
      </c>
      <c r="G30" s="1" t="s">
        <v>25</v>
      </c>
      <c r="H30">
        <v>16647310090</v>
      </c>
      <c r="I30" s="1" t="s">
        <v>42</v>
      </c>
      <c r="J30" s="1" t="s">
        <v>27</v>
      </c>
      <c r="K30" s="1" t="s">
        <v>28</v>
      </c>
      <c r="L30" s="1" t="s">
        <v>25</v>
      </c>
      <c r="M30" s="1" t="str">
        <f>IF(LEFT(results_context_via_permalink_gpt_5_2025_08_07_with_justification_run1[[#This Row],[LLM_response]], 21)="CONTEXT_ACCESSED: yes","X","")</f>
        <v/>
      </c>
      <c r="N30" s="1" t="s">
        <v>25</v>
      </c>
      <c r="O30" s="1" t="s">
        <v>25</v>
      </c>
      <c r="P30" s="1" t="s">
        <v>25</v>
      </c>
      <c r="Q30" s="1" t="s">
        <v>212</v>
      </c>
      <c r="R30" s="1" t="s">
        <v>28</v>
      </c>
      <c r="S30" s="1" t="str">
        <f>IF(results_context_via_permalink_gpt_5_2025_08_07_with_justification_run1[[#This Row],[they_type]]=results_context_via_permalink_gpt_5_2025_08_07_with_justification_run1[[#This Row],[LLM_annotation]],"X","")</f>
        <v>X</v>
      </c>
      <c r="T30" s="1" t="s">
        <v>25</v>
      </c>
    </row>
    <row r="31" spans="1:20" x14ac:dyDescent="0.2">
      <c r="A31" s="1" t="s">
        <v>213</v>
      </c>
      <c r="B31" s="1" t="s">
        <v>214</v>
      </c>
      <c r="C31" s="1" t="s">
        <v>215</v>
      </c>
      <c r="D31" s="1" t="s">
        <v>216</v>
      </c>
      <c r="E31" s="1" t="s">
        <v>128</v>
      </c>
      <c r="F31" s="1" t="s">
        <v>217</v>
      </c>
      <c r="G31" s="1" t="s">
        <v>25</v>
      </c>
      <c r="H31">
        <v>13260105370</v>
      </c>
      <c r="I31" s="1" t="s">
        <v>35</v>
      </c>
      <c r="J31" s="1" t="s">
        <v>27</v>
      </c>
      <c r="K31" s="1" t="s">
        <v>36</v>
      </c>
      <c r="L31" s="1" t="s">
        <v>27</v>
      </c>
      <c r="M31" s="1" t="str">
        <f>IF(LEFT(results_context_via_permalink_gpt_5_2025_08_07_with_justification_run1[[#This Row],[LLM_response]], 21)="CONTEXT_ACCESSED: yes","X","")</f>
        <v>X</v>
      </c>
      <c r="N31" s="1" t="s">
        <v>25</v>
      </c>
      <c r="O31" s="1" t="s">
        <v>25</v>
      </c>
      <c r="P31" s="1" t="s">
        <v>25</v>
      </c>
      <c r="Q31" s="1" t="s">
        <v>218</v>
      </c>
      <c r="R31" s="1" t="s">
        <v>131</v>
      </c>
      <c r="S31" s="1" t="str">
        <f>IF(results_context_via_permalink_gpt_5_2025_08_07_with_justification_run1[[#This Row],[they_type]]=results_context_via_permalink_gpt_5_2025_08_07_with_justification_run1[[#This Row],[LLM_annotation]],"X","")</f>
        <v/>
      </c>
      <c r="T31" s="1" t="s">
        <v>25</v>
      </c>
    </row>
    <row r="32" spans="1:20" x14ac:dyDescent="0.2">
      <c r="A32" s="1" t="s">
        <v>219</v>
      </c>
      <c r="B32" s="1" t="s">
        <v>220</v>
      </c>
      <c r="C32" s="1" t="s">
        <v>221</v>
      </c>
      <c r="D32" s="1" t="s">
        <v>222</v>
      </c>
      <c r="E32" s="1" t="s">
        <v>23</v>
      </c>
      <c r="F32" s="1" t="s">
        <v>223</v>
      </c>
      <c r="G32" s="1" t="s">
        <v>25</v>
      </c>
      <c r="H32">
        <v>13303048810</v>
      </c>
      <c r="I32" s="1" t="s">
        <v>123</v>
      </c>
      <c r="J32" s="1" t="s">
        <v>27</v>
      </c>
      <c r="K32" s="1" t="s">
        <v>28</v>
      </c>
      <c r="L32" s="1" t="s">
        <v>25</v>
      </c>
      <c r="M32" s="1" t="str">
        <f>IF(LEFT(results_context_via_permalink_gpt_5_2025_08_07_with_justification_run1[[#This Row],[LLM_response]], 21)="CONTEXT_ACCESSED: yes","X","")</f>
        <v/>
      </c>
      <c r="N32" s="1" t="s">
        <v>25</v>
      </c>
      <c r="O32" s="1" t="s">
        <v>25</v>
      </c>
      <c r="P32" s="1" t="s">
        <v>25</v>
      </c>
      <c r="Q32" s="1" t="s">
        <v>224</v>
      </c>
      <c r="R32" s="1" t="s">
        <v>28</v>
      </c>
      <c r="S32" s="1" t="str">
        <f>IF(results_context_via_permalink_gpt_5_2025_08_07_with_justification_run1[[#This Row],[they_type]]=results_context_via_permalink_gpt_5_2025_08_07_with_justification_run1[[#This Row],[LLM_annotation]],"X","")</f>
        <v>X</v>
      </c>
      <c r="T32" s="1" t="s">
        <v>25</v>
      </c>
    </row>
    <row r="33" spans="1:20" x14ac:dyDescent="0.2">
      <c r="A33" s="1" t="s">
        <v>225</v>
      </c>
      <c r="B33" s="1" t="s">
        <v>226</v>
      </c>
      <c r="C33" s="1" t="s">
        <v>227</v>
      </c>
      <c r="D33" s="1" t="s">
        <v>228</v>
      </c>
      <c r="E33" s="1" t="s">
        <v>128</v>
      </c>
      <c r="F33" s="1" t="s">
        <v>229</v>
      </c>
      <c r="G33" s="1" t="s">
        <v>230</v>
      </c>
      <c r="H33">
        <v>13304127030</v>
      </c>
      <c r="I33" s="1" t="s">
        <v>123</v>
      </c>
      <c r="J33" s="1" t="s">
        <v>27</v>
      </c>
      <c r="K33" s="1" t="s">
        <v>131</v>
      </c>
      <c r="L33" s="1" t="s">
        <v>27</v>
      </c>
      <c r="M33" s="1" t="str">
        <f>IF(LEFT(results_context_via_permalink_gpt_5_2025_08_07_with_justification_run1[[#This Row],[LLM_response]], 21)="CONTEXT_ACCESSED: yes","X","")</f>
        <v>X</v>
      </c>
      <c r="N33" s="1" t="s">
        <v>25</v>
      </c>
      <c r="O33" s="1" t="s">
        <v>25</v>
      </c>
      <c r="P33" s="1" t="s">
        <v>25</v>
      </c>
      <c r="Q33" s="1" t="s">
        <v>231</v>
      </c>
      <c r="R33" s="1" t="s">
        <v>131</v>
      </c>
      <c r="S33" s="1" t="str">
        <f>IF(results_context_via_permalink_gpt_5_2025_08_07_with_justification_run1[[#This Row],[they_type]]=results_context_via_permalink_gpt_5_2025_08_07_with_justification_run1[[#This Row],[LLM_annotation]],"X","")</f>
        <v>X</v>
      </c>
      <c r="T33" s="1" t="s">
        <v>25</v>
      </c>
    </row>
    <row r="34" spans="1:20" x14ac:dyDescent="0.2">
      <c r="A34" s="1" t="s">
        <v>232</v>
      </c>
      <c r="B34" s="1" t="s">
        <v>233</v>
      </c>
      <c r="C34" s="1" t="s">
        <v>234</v>
      </c>
      <c r="D34" s="1" t="s">
        <v>235</v>
      </c>
      <c r="E34" s="1" t="s">
        <v>54</v>
      </c>
      <c r="F34" s="1" t="s">
        <v>236</v>
      </c>
      <c r="G34" s="1" t="s">
        <v>25</v>
      </c>
      <c r="H34">
        <v>16647469980</v>
      </c>
      <c r="I34" s="1" t="s">
        <v>42</v>
      </c>
      <c r="J34" s="1" t="s">
        <v>27</v>
      </c>
      <c r="K34" s="1" t="s">
        <v>36</v>
      </c>
      <c r="L34" s="1" t="s">
        <v>25</v>
      </c>
      <c r="M34" s="1" t="str">
        <f>IF(LEFT(results_context_via_permalink_gpt_5_2025_08_07_with_justification_run1[[#This Row],[LLM_response]], 21)="CONTEXT_ACCESSED: yes","X","")</f>
        <v/>
      </c>
      <c r="N34" s="1" t="s">
        <v>25</v>
      </c>
      <c r="O34" s="1" t="s">
        <v>25</v>
      </c>
      <c r="P34" s="1" t="s">
        <v>25</v>
      </c>
      <c r="Q34" s="1" t="s">
        <v>237</v>
      </c>
      <c r="R34" s="1" t="s">
        <v>28</v>
      </c>
      <c r="S34" s="1" t="str">
        <f>IF(results_context_via_permalink_gpt_5_2025_08_07_with_justification_run1[[#This Row],[they_type]]=results_context_via_permalink_gpt_5_2025_08_07_with_justification_run1[[#This Row],[LLM_annotation]],"X","")</f>
        <v/>
      </c>
      <c r="T34" s="1" t="s">
        <v>25</v>
      </c>
    </row>
    <row r="35" spans="1:20" x14ac:dyDescent="0.2">
      <c r="A35" s="1" t="s">
        <v>238</v>
      </c>
      <c r="B35" s="1" t="s">
        <v>239</v>
      </c>
      <c r="C35" s="1" t="s">
        <v>240</v>
      </c>
      <c r="D35" s="1" t="s">
        <v>241</v>
      </c>
      <c r="E35" s="1" t="s">
        <v>47</v>
      </c>
      <c r="F35" s="1" t="s">
        <v>242</v>
      </c>
      <c r="G35" s="1" t="s">
        <v>25</v>
      </c>
      <c r="H35">
        <v>13254994910</v>
      </c>
      <c r="I35" s="1" t="s">
        <v>49</v>
      </c>
      <c r="J35" s="1" t="s">
        <v>27</v>
      </c>
      <c r="K35" s="1" t="s">
        <v>28</v>
      </c>
      <c r="L35" s="1" t="s">
        <v>25</v>
      </c>
      <c r="M35" s="1" t="str">
        <f>IF(LEFT(results_context_via_permalink_gpt_5_2025_08_07_with_justification_run1[[#This Row],[LLM_response]], 21)="CONTEXT_ACCESSED: yes","X","")</f>
        <v/>
      </c>
      <c r="N35" s="1" t="s">
        <v>25</v>
      </c>
      <c r="O35" s="1" t="s">
        <v>25</v>
      </c>
      <c r="P35" s="1" t="s">
        <v>25</v>
      </c>
      <c r="Q35" s="1" t="s">
        <v>243</v>
      </c>
      <c r="R35" s="1" t="s">
        <v>28</v>
      </c>
      <c r="S35" s="1" t="str">
        <f>IF(results_context_via_permalink_gpt_5_2025_08_07_with_justification_run1[[#This Row],[they_type]]=results_context_via_permalink_gpt_5_2025_08_07_with_justification_run1[[#This Row],[LLM_annotation]],"X","")</f>
        <v>X</v>
      </c>
      <c r="T35" s="1" t="s">
        <v>25</v>
      </c>
    </row>
    <row r="36" spans="1:20" x14ac:dyDescent="0.2">
      <c r="A36" s="1" t="s">
        <v>244</v>
      </c>
      <c r="B36" s="1" t="s">
        <v>76</v>
      </c>
      <c r="C36" s="1" t="s">
        <v>245</v>
      </c>
      <c r="D36" s="1" t="s">
        <v>246</v>
      </c>
      <c r="E36" s="1" t="s">
        <v>47</v>
      </c>
      <c r="F36" s="1" t="s">
        <v>247</v>
      </c>
      <c r="G36" s="1" t="s">
        <v>25</v>
      </c>
      <c r="H36">
        <v>16647526570</v>
      </c>
      <c r="I36" s="1" t="s">
        <v>100</v>
      </c>
      <c r="J36" s="1" t="s">
        <v>27</v>
      </c>
      <c r="K36" s="1" t="s">
        <v>28</v>
      </c>
      <c r="L36" s="1" t="s">
        <v>25</v>
      </c>
      <c r="M36" s="1" t="str">
        <f>IF(LEFT(results_context_via_permalink_gpt_5_2025_08_07_with_justification_run1[[#This Row],[LLM_response]], 21)="CONTEXT_ACCESSED: yes","X","")</f>
        <v>X</v>
      </c>
      <c r="N36" s="1" t="s">
        <v>25</v>
      </c>
      <c r="O36" s="1" t="s">
        <v>25</v>
      </c>
      <c r="P36" s="1" t="s">
        <v>25</v>
      </c>
      <c r="Q36" s="1" t="s">
        <v>248</v>
      </c>
      <c r="R36" s="1" t="s">
        <v>28</v>
      </c>
      <c r="S36" s="1" t="str">
        <f>IF(results_context_via_permalink_gpt_5_2025_08_07_with_justification_run1[[#This Row],[they_type]]=results_context_via_permalink_gpt_5_2025_08_07_with_justification_run1[[#This Row],[LLM_annotation]],"X","")</f>
        <v>X</v>
      </c>
      <c r="T36" s="1" t="s">
        <v>25</v>
      </c>
    </row>
    <row r="37" spans="1:20" x14ac:dyDescent="0.2">
      <c r="A37" s="1" t="s">
        <v>249</v>
      </c>
      <c r="B37" s="1" t="s">
        <v>250</v>
      </c>
      <c r="C37" s="1" t="s">
        <v>251</v>
      </c>
      <c r="D37" s="1" t="s">
        <v>252</v>
      </c>
      <c r="E37" s="1" t="s">
        <v>33</v>
      </c>
      <c r="F37" s="1" t="s">
        <v>253</v>
      </c>
      <c r="G37" s="1" t="s">
        <v>25</v>
      </c>
      <c r="H37">
        <v>16662098760</v>
      </c>
      <c r="I37" s="1" t="s">
        <v>148</v>
      </c>
      <c r="J37" s="1" t="s">
        <v>27</v>
      </c>
      <c r="K37" s="1" t="s">
        <v>28</v>
      </c>
      <c r="L37" s="1" t="s">
        <v>25</v>
      </c>
      <c r="M37" s="1" t="str">
        <f>IF(LEFT(results_context_via_permalink_gpt_5_2025_08_07_with_justification_run1[[#This Row],[LLM_response]], 21)="CONTEXT_ACCESSED: yes","X","")</f>
        <v/>
      </c>
      <c r="N37" s="1" t="s">
        <v>25</v>
      </c>
      <c r="O37" s="1" t="s">
        <v>25</v>
      </c>
      <c r="P37" s="1" t="s">
        <v>25</v>
      </c>
      <c r="Q37" s="1" t="s">
        <v>254</v>
      </c>
      <c r="R37" s="1" t="s">
        <v>28</v>
      </c>
      <c r="S37" s="1" t="str">
        <f>IF(results_context_via_permalink_gpt_5_2025_08_07_with_justification_run1[[#This Row],[they_type]]=results_context_via_permalink_gpt_5_2025_08_07_with_justification_run1[[#This Row],[LLM_annotation]],"X","")</f>
        <v>X</v>
      </c>
      <c r="T37" s="1" t="s">
        <v>25</v>
      </c>
    </row>
    <row r="38" spans="1:20" x14ac:dyDescent="0.2">
      <c r="A38" s="1" t="s">
        <v>255</v>
      </c>
      <c r="B38" s="1" t="s">
        <v>256</v>
      </c>
      <c r="C38" s="1" t="s">
        <v>257</v>
      </c>
      <c r="D38" s="1" t="s">
        <v>258</v>
      </c>
      <c r="E38" s="1" t="s">
        <v>23</v>
      </c>
      <c r="F38" s="1" t="s">
        <v>259</v>
      </c>
      <c r="G38" s="1" t="s">
        <v>25</v>
      </c>
      <c r="H38">
        <v>16647639980</v>
      </c>
      <c r="I38" s="1" t="s">
        <v>26</v>
      </c>
      <c r="J38" s="1" t="s">
        <v>27</v>
      </c>
      <c r="K38" s="1" t="s">
        <v>36</v>
      </c>
      <c r="L38" s="1" t="s">
        <v>27</v>
      </c>
      <c r="M38" s="1" t="str">
        <f>IF(LEFT(results_context_via_permalink_gpt_5_2025_08_07_with_justification_run1[[#This Row],[LLM_response]], 21)="CONTEXT_ACCESSED: yes","X","")</f>
        <v>X</v>
      </c>
      <c r="N38" s="1" t="s">
        <v>25</v>
      </c>
      <c r="O38" s="1" t="s">
        <v>25</v>
      </c>
      <c r="P38" s="1" t="s">
        <v>25</v>
      </c>
      <c r="Q38" s="1" t="s">
        <v>260</v>
      </c>
      <c r="R38" s="1" t="s">
        <v>28</v>
      </c>
      <c r="S38" s="1" t="str">
        <f>IF(results_context_via_permalink_gpt_5_2025_08_07_with_justification_run1[[#This Row],[they_type]]=results_context_via_permalink_gpt_5_2025_08_07_with_justification_run1[[#This Row],[LLM_annotation]],"X","")</f>
        <v/>
      </c>
      <c r="T38" s="1" t="s">
        <v>25</v>
      </c>
    </row>
    <row r="39" spans="1:20" x14ac:dyDescent="0.2">
      <c r="A39" s="1" t="s">
        <v>261</v>
      </c>
      <c r="B39" s="1" t="s">
        <v>262</v>
      </c>
      <c r="C39" s="1" t="s">
        <v>263</v>
      </c>
      <c r="D39" s="1" t="s">
        <v>264</v>
      </c>
      <c r="E39" s="1" t="s">
        <v>54</v>
      </c>
      <c r="F39" s="1" t="s">
        <v>265</v>
      </c>
      <c r="G39" s="1" t="s">
        <v>25</v>
      </c>
      <c r="H39">
        <v>16648030520</v>
      </c>
      <c r="I39" s="1" t="s">
        <v>100</v>
      </c>
      <c r="J39" s="1" t="s">
        <v>27</v>
      </c>
      <c r="K39" s="1" t="s">
        <v>36</v>
      </c>
      <c r="L39" s="1" t="s">
        <v>25</v>
      </c>
      <c r="M39" s="1" t="str">
        <f>IF(LEFT(results_context_via_permalink_gpt_5_2025_08_07_with_justification_run1[[#This Row],[LLM_response]], 21)="CONTEXT_ACCESSED: yes","X","")</f>
        <v/>
      </c>
      <c r="N39" s="1" t="s">
        <v>25</v>
      </c>
      <c r="O39" s="1" t="s">
        <v>25</v>
      </c>
      <c r="P39" s="1" t="s">
        <v>25</v>
      </c>
      <c r="Q39" s="1" t="s">
        <v>266</v>
      </c>
      <c r="R39" s="1" t="s">
        <v>36</v>
      </c>
      <c r="S39" s="1" t="str">
        <f>IF(results_context_via_permalink_gpt_5_2025_08_07_with_justification_run1[[#This Row],[they_type]]=results_context_via_permalink_gpt_5_2025_08_07_with_justification_run1[[#This Row],[LLM_annotation]],"X","")</f>
        <v>X</v>
      </c>
      <c r="T39" s="1" t="s">
        <v>25</v>
      </c>
    </row>
    <row r="40" spans="1:20" x14ac:dyDescent="0.2">
      <c r="A40" s="1" t="s">
        <v>267</v>
      </c>
      <c r="B40" s="1" t="s">
        <v>268</v>
      </c>
      <c r="C40" s="1" t="s">
        <v>269</v>
      </c>
      <c r="D40" s="1" t="s">
        <v>270</v>
      </c>
      <c r="E40" s="1" t="s">
        <v>65</v>
      </c>
      <c r="F40" s="1" t="s">
        <v>271</v>
      </c>
      <c r="G40" s="1" t="s">
        <v>99</v>
      </c>
      <c r="H40">
        <v>16666160420</v>
      </c>
      <c r="I40" s="1" t="s">
        <v>26</v>
      </c>
      <c r="J40" s="1" t="s">
        <v>27</v>
      </c>
      <c r="K40" s="1" t="s">
        <v>28</v>
      </c>
      <c r="L40" s="1" t="s">
        <v>27</v>
      </c>
      <c r="M40" s="1" t="str">
        <f>IF(LEFT(results_context_via_permalink_gpt_5_2025_08_07_with_justification_run1[[#This Row],[LLM_response]], 21)="CONTEXT_ACCESSED: yes","X","")</f>
        <v/>
      </c>
      <c r="N40" s="1" t="s">
        <v>25</v>
      </c>
      <c r="O40" s="1" t="s">
        <v>25</v>
      </c>
      <c r="P40" s="1" t="s">
        <v>25</v>
      </c>
      <c r="Q40" s="1" t="s">
        <v>272</v>
      </c>
      <c r="R40" s="1" t="s">
        <v>28</v>
      </c>
      <c r="S40" s="1" t="str">
        <f>IF(results_context_via_permalink_gpt_5_2025_08_07_with_justification_run1[[#This Row],[they_type]]=results_context_via_permalink_gpt_5_2025_08_07_with_justification_run1[[#This Row],[LLM_annotation]],"X","")</f>
        <v>X</v>
      </c>
      <c r="T40" s="1" t="s">
        <v>25</v>
      </c>
    </row>
    <row r="41" spans="1:20" x14ac:dyDescent="0.2">
      <c r="A41" s="1" t="s">
        <v>273</v>
      </c>
      <c r="B41" s="1" t="s">
        <v>220</v>
      </c>
      <c r="C41" s="1" t="s">
        <v>274</v>
      </c>
      <c r="D41" s="1" t="s">
        <v>275</v>
      </c>
      <c r="E41" s="1" t="s">
        <v>33</v>
      </c>
      <c r="F41" s="1" t="s">
        <v>276</v>
      </c>
      <c r="G41" s="1" t="s">
        <v>25</v>
      </c>
      <c r="H41">
        <v>16667034120</v>
      </c>
      <c r="I41" s="1" t="s">
        <v>42</v>
      </c>
      <c r="J41" s="1" t="s">
        <v>27</v>
      </c>
      <c r="K41" s="1" t="s">
        <v>28</v>
      </c>
      <c r="L41" s="1" t="s">
        <v>25</v>
      </c>
      <c r="M41" s="1" t="str">
        <f>IF(LEFT(results_context_via_permalink_gpt_5_2025_08_07_with_justification_run1[[#This Row],[LLM_response]], 21)="CONTEXT_ACCESSED: yes","X","")</f>
        <v/>
      </c>
      <c r="N41" s="1" t="s">
        <v>25</v>
      </c>
      <c r="O41" s="1" t="s">
        <v>25</v>
      </c>
      <c r="P41" s="1" t="s">
        <v>25</v>
      </c>
      <c r="Q41" s="1" t="s">
        <v>277</v>
      </c>
      <c r="R41" s="1" t="s">
        <v>28</v>
      </c>
      <c r="S41" s="1" t="str">
        <f>IF(results_context_via_permalink_gpt_5_2025_08_07_with_justification_run1[[#This Row],[they_type]]=results_context_via_permalink_gpt_5_2025_08_07_with_justification_run1[[#This Row],[LLM_annotation]],"X","")</f>
        <v>X</v>
      </c>
      <c r="T41" s="1" t="s">
        <v>25</v>
      </c>
    </row>
    <row r="42" spans="1:20" x14ac:dyDescent="0.2">
      <c r="A42" s="1" t="s">
        <v>278</v>
      </c>
      <c r="B42" s="1" t="s">
        <v>279</v>
      </c>
      <c r="C42" s="1" t="s">
        <v>280</v>
      </c>
      <c r="D42" s="1" t="s">
        <v>281</v>
      </c>
      <c r="E42" s="1" t="s">
        <v>54</v>
      </c>
      <c r="F42" s="1" t="s">
        <v>282</v>
      </c>
      <c r="G42" s="1" t="s">
        <v>25</v>
      </c>
      <c r="H42">
        <v>16648126410</v>
      </c>
      <c r="I42" s="1" t="s">
        <v>100</v>
      </c>
      <c r="J42" s="1" t="s">
        <v>27</v>
      </c>
      <c r="K42" s="1" t="s">
        <v>36</v>
      </c>
      <c r="L42" s="1" t="s">
        <v>25</v>
      </c>
      <c r="M42" s="1" t="str">
        <f>IF(LEFT(results_context_via_permalink_gpt_5_2025_08_07_with_justification_run1[[#This Row],[LLM_response]], 21)="CONTEXT_ACCESSED: yes","X","")</f>
        <v/>
      </c>
      <c r="N42" s="1" t="s">
        <v>25</v>
      </c>
      <c r="O42" s="1" t="s">
        <v>25</v>
      </c>
      <c r="P42" s="1" t="s">
        <v>25</v>
      </c>
      <c r="Q42" s="1" t="s">
        <v>283</v>
      </c>
      <c r="R42" s="1" t="s">
        <v>36</v>
      </c>
      <c r="S42" s="1" t="str">
        <f>IF(results_context_via_permalink_gpt_5_2025_08_07_with_justification_run1[[#This Row],[they_type]]=results_context_via_permalink_gpt_5_2025_08_07_with_justification_run1[[#This Row],[LLM_annotation]],"X","")</f>
        <v>X</v>
      </c>
      <c r="T42" s="1" t="s">
        <v>25</v>
      </c>
    </row>
    <row r="43" spans="1:20" x14ac:dyDescent="0.2">
      <c r="A43" s="1" t="s">
        <v>284</v>
      </c>
      <c r="B43" s="1" t="s">
        <v>285</v>
      </c>
      <c r="C43" s="1" t="s">
        <v>286</v>
      </c>
      <c r="D43" s="1" t="s">
        <v>287</v>
      </c>
      <c r="E43" s="1" t="s">
        <v>33</v>
      </c>
      <c r="F43" s="1" t="s">
        <v>288</v>
      </c>
      <c r="G43" s="1" t="s">
        <v>25</v>
      </c>
      <c r="H43">
        <v>16667395930</v>
      </c>
      <c r="I43" s="1" t="s">
        <v>100</v>
      </c>
      <c r="J43" s="1" t="s">
        <v>27</v>
      </c>
      <c r="K43" s="1" t="s">
        <v>28</v>
      </c>
      <c r="L43" s="1" t="s">
        <v>25</v>
      </c>
      <c r="M43" s="1" t="str">
        <f>IF(LEFT(results_context_via_permalink_gpt_5_2025_08_07_with_justification_run1[[#This Row],[LLM_response]], 21)="CONTEXT_ACCESSED: yes","X","")</f>
        <v/>
      </c>
      <c r="N43" s="1" t="s">
        <v>25</v>
      </c>
      <c r="O43" s="1" t="s">
        <v>25</v>
      </c>
      <c r="P43" s="1" t="s">
        <v>25</v>
      </c>
      <c r="Q43" s="1" t="s">
        <v>289</v>
      </c>
      <c r="R43" s="1" t="s">
        <v>36</v>
      </c>
      <c r="S43" s="1" t="str">
        <f>IF(results_context_via_permalink_gpt_5_2025_08_07_with_justification_run1[[#This Row],[they_type]]=results_context_via_permalink_gpt_5_2025_08_07_with_justification_run1[[#This Row],[LLM_annotation]],"X","")</f>
        <v/>
      </c>
      <c r="T43" s="1" t="s">
        <v>25</v>
      </c>
    </row>
    <row r="44" spans="1:20" x14ac:dyDescent="0.2">
      <c r="A44" s="1" t="s">
        <v>290</v>
      </c>
      <c r="B44" s="1" t="s">
        <v>291</v>
      </c>
      <c r="C44" s="1" t="s">
        <v>292</v>
      </c>
      <c r="D44" s="1" t="s">
        <v>293</v>
      </c>
      <c r="E44" s="1" t="s">
        <v>33</v>
      </c>
      <c r="F44" s="1" t="s">
        <v>294</v>
      </c>
      <c r="G44" s="1" t="s">
        <v>25</v>
      </c>
      <c r="H44">
        <v>13263780190</v>
      </c>
      <c r="I44" s="1" t="s">
        <v>123</v>
      </c>
      <c r="J44" s="1" t="s">
        <v>27</v>
      </c>
      <c r="K44" s="1" t="s">
        <v>36</v>
      </c>
      <c r="L44" s="1" t="s">
        <v>25</v>
      </c>
      <c r="M44" s="1" t="str">
        <f>IF(LEFT(results_context_via_permalink_gpt_5_2025_08_07_with_justification_run1[[#This Row],[LLM_response]], 21)="CONTEXT_ACCESSED: yes","X","")</f>
        <v>X</v>
      </c>
      <c r="N44" s="1" t="s">
        <v>25</v>
      </c>
      <c r="O44" s="1" t="s">
        <v>25</v>
      </c>
      <c r="P44" s="1" t="s">
        <v>25</v>
      </c>
      <c r="Q44" s="1" t="s">
        <v>295</v>
      </c>
      <c r="R44" s="1" t="s">
        <v>36</v>
      </c>
      <c r="S44" s="1" t="str">
        <f>IF(results_context_via_permalink_gpt_5_2025_08_07_with_justification_run1[[#This Row],[they_type]]=results_context_via_permalink_gpt_5_2025_08_07_with_justification_run1[[#This Row],[LLM_annotation]],"X","")</f>
        <v>X</v>
      </c>
      <c r="T44" s="1" t="s">
        <v>25</v>
      </c>
    </row>
    <row r="45" spans="1:20" x14ac:dyDescent="0.2">
      <c r="A45" s="1" t="s">
        <v>296</v>
      </c>
      <c r="B45" s="1" t="s">
        <v>297</v>
      </c>
      <c r="C45" s="1" t="s">
        <v>298</v>
      </c>
      <c r="D45" s="1" t="s">
        <v>299</v>
      </c>
      <c r="E45" s="1" t="s">
        <v>33</v>
      </c>
      <c r="F45" s="1" t="s">
        <v>300</v>
      </c>
      <c r="G45" s="1" t="s">
        <v>301</v>
      </c>
      <c r="H45">
        <v>13263866400</v>
      </c>
      <c r="I45" s="1" t="s">
        <v>123</v>
      </c>
      <c r="J45" s="1" t="s">
        <v>27</v>
      </c>
      <c r="K45" s="1" t="s">
        <v>36</v>
      </c>
      <c r="L45" s="1" t="s">
        <v>25</v>
      </c>
      <c r="M45" s="1" t="str">
        <f>IF(LEFT(results_context_via_permalink_gpt_5_2025_08_07_with_justification_run1[[#This Row],[LLM_response]], 21)="CONTEXT_ACCESSED: yes","X","")</f>
        <v/>
      </c>
      <c r="N45" s="1" t="s">
        <v>25</v>
      </c>
      <c r="O45" s="1" t="s">
        <v>25</v>
      </c>
      <c r="P45" s="1" t="s">
        <v>25</v>
      </c>
      <c r="Q45" s="1" t="s">
        <v>302</v>
      </c>
      <c r="R45" s="1" t="s">
        <v>36</v>
      </c>
      <c r="S45" s="1" t="str">
        <f>IF(results_context_via_permalink_gpt_5_2025_08_07_with_justification_run1[[#This Row],[they_type]]=results_context_via_permalink_gpt_5_2025_08_07_with_justification_run1[[#This Row],[LLM_annotation]],"X","")</f>
        <v>X</v>
      </c>
      <c r="T45" s="1" t="s">
        <v>25</v>
      </c>
    </row>
    <row r="46" spans="1:20" x14ac:dyDescent="0.2">
      <c r="A46" s="1" t="s">
        <v>303</v>
      </c>
      <c r="B46" s="1" t="s">
        <v>304</v>
      </c>
      <c r="C46" s="1" t="s">
        <v>305</v>
      </c>
      <c r="D46" s="1" t="s">
        <v>306</v>
      </c>
      <c r="E46" s="1" t="s">
        <v>33</v>
      </c>
      <c r="F46" s="1" t="s">
        <v>307</v>
      </c>
      <c r="G46" s="1" t="s">
        <v>25</v>
      </c>
      <c r="H46">
        <v>13264681190</v>
      </c>
      <c r="I46" s="1" t="s">
        <v>49</v>
      </c>
      <c r="J46" s="1" t="s">
        <v>27</v>
      </c>
      <c r="K46" s="1" t="s">
        <v>36</v>
      </c>
      <c r="L46" s="1" t="s">
        <v>25</v>
      </c>
      <c r="M46" s="1" t="str">
        <f>IF(LEFT(results_context_via_permalink_gpt_5_2025_08_07_with_justification_run1[[#This Row],[LLM_response]], 21)="CONTEXT_ACCESSED: yes","X","")</f>
        <v/>
      </c>
      <c r="N46" s="1" t="s">
        <v>25</v>
      </c>
      <c r="O46" s="1" t="s">
        <v>25</v>
      </c>
      <c r="P46" s="1" t="s">
        <v>25</v>
      </c>
      <c r="Q46" s="1" t="s">
        <v>308</v>
      </c>
      <c r="R46" s="1" t="s">
        <v>36</v>
      </c>
      <c r="S46" s="1" t="str">
        <f>IF(results_context_via_permalink_gpt_5_2025_08_07_with_justification_run1[[#This Row],[they_type]]=results_context_via_permalink_gpt_5_2025_08_07_with_justification_run1[[#This Row],[LLM_annotation]],"X","")</f>
        <v>X</v>
      </c>
      <c r="T46" s="1" t="s">
        <v>25</v>
      </c>
    </row>
    <row r="47" spans="1:20" x14ac:dyDescent="0.2">
      <c r="A47" s="1" t="s">
        <v>309</v>
      </c>
      <c r="B47" s="1" t="s">
        <v>310</v>
      </c>
      <c r="C47" s="1" t="s">
        <v>311</v>
      </c>
      <c r="D47" s="1" t="s">
        <v>312</v>
      </c>
      <c r="E47" s="1" t="s">
        <v>47</v>
      </c>
      <c r="F47" s="1" t="s">
        <v>313</v>
      </c>
      <c r="G47" s="1" t="s">
        <v>25</v>
      </c>
      <c r="H47">
        <v>13266536960</v>
      </c>
      <c r="I47" s="1" t="s">
        <v>314</v>
      </c>
      <c r="J47" s="1" t="s">
        <v>27</v>
      </c>
      <c r="K47" s="1" t="s">
        <v>36</v>
      </c>
      <c r="L47" s="1" t="s">
        <v>25</v>
      </c>
      <c r="M47" s="1" t="str">
        <f>IF(LEFT(results_context_via_permalink_gpt_5_2025_08_07_with_justification_run1[[#This Row],[LLM_response]], 21)="CONTEXT_ACCESSED: yes","X","")</f>
        <v/>
      </c>
      <c r="N47" s="1" t="s">
        <v>25</v>
      </c>
      <c r="O47" s="1" t="s">
        <v>25</v>
      </c>
      <c r="P47" s="1" t="s">
        <v>25</v>
      </c>
      <c r="Q47" s="1" t="s">
        <v>315</v>
      </c>
      <c r="R47" s="1" t="s">
        <v>36</v>
      </c>
      <c r="S47" s="1" t="str">
        <f>IF(results_context_via_permalink_gpt_5_2025_08_07_with_justification_run1[[#This Row],[they_type]]=results_context_via_permalink_gpt_5_2025_08_07_with_justification_run1[[#This Row],[LLM_annotation]],"X","")</f>
        <v>X</v>
      </c>
      <c r="T47" s="1" t="s">
        <v>25</v>
      </c>
    </row>
    <row r="48" spans="1:20" x14ac:dyDescent="0.2">
      <c r="A48" s="1" t="s">
        <v>316</v>
      </c>
      <c r="B48" s="1" t="s">
        <v>317</v>
      </c>
      <c r="C48" s="1" t="s">
        <v>318</v>
      </c>
      <c r="D48" s="1" t="s">
        <v>319</v>
      </c>
      <c r="E48" s="1" t="s">
        <v>54</v>
      </c>
      <c r="F48" s="1" t="s">
        <v>320</v>
      </c>
      <c r="G48" s="1" t="s">
        <v>25</v>
      </c>
      <c r="H48">
        <v>16649603840</v>
      </c>
      <c r="I48" s="1" t="s">
        <v>42</v>
      </c>
      <c r="J48" s="1" t="s">
        <v>27</v>
      </c>
      <c r="K48" s="1" t="s">
        <v>28</v>
      </c>
      <c r="L48" s="1" t="s">
        <v>25</v>
      </c>
      <c r="M48" s="1" t="str">
        <f>IF(LEFT(results_context_via_permalink_gpt_5_2025_08_07_with_justification_run1[[#This Row],[LLM_response]], 21)="CONTEXT_ACCESSED: yes","X","")</f>
        <v/>
      </c>
      <c r="N48" s="1" t="s">
        <v>25</v>
      </c>
      <c r="O48" s="1" t="s">
        <v>25</v>
      </c>
      <c r="P48" s="1" t="s">
        <v>25</v>
      </c>
      <c r="Q48" s="1" t="s">
        <v>321</v>
      </c>
      <c r="R48" s="1" t="s">
        <v>28</v>
      </c>
      <c r="S48" s="1" t="str">
        <f>IF(results_context_via_permalink_gpt_5_2025_08_07_with_justification_run1[[#This Row],[they_type]]=results_context_via_permalink_gpt_5_2025_08_07_with_justification_run1[[#This Row],[LLM_annotation]],"X","")</f>
        <v>X</v>
      </c>
      <c r="T48" s="1" t="s">
        <v>25</v>
      </c>
    </row>
    <row r="49" spans="1:20" x14ac:dyDescent="0.2">
      <c r="A49" s="1" t="s">
        <v>322</v>
      </c>
      <c r="B49" s="1" t="s">
        <v>323</v>
      </c>
      <c r="C49" s="1" t="s">
        <v>324</v>
      </c>
      <c r="D49" s="1" t="s">
        <v>325</v>
      </c>
      <c r="E49" s="1" t="s">
        <v>54</v>
      </c>
      <c r="F49" s="1" t="s">
        <v>326</v>
      </c>
      <c r="G49" s="1" t="s">
        <v>25</v>
      </c>
      <c r="H49">
        <v>16649614840</v>
      </c>
      <c r="I49" s="1" t="s">
        <v>148</v>
      </c>
      <c r="J49" s="1" t="s">
        <v>27</v>
      </c>
      <c r="K49" s="1" t="s">
        <v>36</v>
      </c>
      <c r="L49" s="1" t="s">
        <v>25</v>
      </c>
      <c r="M49" s="1" t="str">
        <f>IF(LEFT(results_context_via_permalink_gpt_5_2025_08_07_with_justification_run1[[#This Row],[LLM_response]], 21)="CONTEXT_ACCESSED: yes","X","")</f>
        <v/>
      </c>
      <c r="N49" s="1" t="s">
        <v>25</v>
      </c>
      <c r="O49" s="1" t="s">
        <v>25</v>
      </c>
      <c r="P49" s="1" t="s">
        <v>25</v>
      </c>
      <c r="Q49" s="1" t="s">
        <v>327</v>
      </c>
      <c r="R49" s="1" t="s">
        <v>36</v>
      </c>
      <c r="S49" s="1" t="str">
        <f>IF(results_context_via_permalink_gpt_5_2025_08_07_with_justification_run1[[#This Row],[they_type]]=results_context_via_permalink_gpt_5_2025_08_07_with_justification_run1[[#This Row],[LLM_annotation]],"X","")</f>
        <v>X</v>
      </c>
      <c r="T49" s="1" t="s">
        <v>25</v>
      </c>
    </row>
    <row r="50" spans="1:20" x14ac:dyDescent="0.2">
      <c r="A50" s="1" t="s">
        <v>328</v>
      </c>
      <c r="B50" s="1" t="s">
        <v>102</v>
      </c>
      <c r="C50" s="1" t="s">
        <v>329</v>
      </c>
      <c r="D50" s="1" t="s">
        <v>330</v>
      </c>
      <c r="E50" s="1" t="s">
        <v>33</v>
      </c>
      <c r="F50" s="1" t="s">
        <v>331</v>
      </c>
      <c r="G50" s="1" t="s">
        <v>25</v>
      </c>
      <c r="H50">
        <v>16649670340</v>
      </c>
      <c r="I50" s="1" t="s">
        <v>42</v>
      </c>
      <c r="J50" s="1" t="s">
        <v>27</v>
      </c>
      <c r="K50" s="1" t="s">
        <v>28</v>
      </c>
      <c r="L50" s="1" t="s">
        <v>25</v>
      </c>
      <c r="M50" s="1" t="str">
        <f>IF(LEFT(results_context_via_permalink_gpt_5_2025_08_07_with_justification_run1[[#This Row],[LLM_response]], 21)="CONTEXT_ACCESSED: yes","X","")</f>
        <v/>
      </c>
      <c r="N50" s="1" t="s">
        <v>25</v>
      </c>
      <c r="O50" s="1" t="s">
        <v>25</v>
      </c>
      <c r="P50" s="1" t="s">
        <v>25</v>
      </c>
      <c r="Q50" s="1" t="s">
        <v>332</v>
      </c>
      <c r="R50" s="1" t="s">
        <v>28</v>
      </c>
      <c r="S50" s="1" t="str">
        <f>IF(results_context_via_permalink_gpt_5_2025_08_07_with_justification_run1[[#This Row],[they_type]]=results_context_via_permalink_gpt_5_2025_08_07_with_justification_run1[[#This Row],[LLM_annotation]],"X","")</f>
        <v>X</v>
      </c>
      <c r="T50" s="1" t="s">
        <v>25</v>
      </c>
    </row>
    <row r="51" spans="1:20" x14ac:dyDescent="0.2">
      <c r="A51" s="1" t="s">
        <v>333</v>
      </c>
      <c r="B51" s="1" t="s">
        <v>334</v>
      </c>
      <c r="C51" s="1" t="s">
        <v>335</v>
      </c>
      <c r="D51" s="1" t="s">
        <v>336</v>
      </c>
      <c r="E51" s="1" t="s">
        <v>54</v>
      </c>
      <c r="F51" s="1" t="s">
        <v>34</v>
      </c>
      <c r="G51" s="1" t="s">
        <v>25</v>
      </c>
      <c r="H51">
        <v>16649981870</v>
      </c>
      <c r="I51" s="1" t="s">
        <v>26</v>
      </c>
      <c r="J51" s="1" t="s">
        <v>27</v>
      </c>
      <c r="K51" s="1" t="s">
        <v>28</v>
      </c>
      <c r="L51" s="1" t="s">
        <v>25</v>
      </c>
      <c r="M51" s="1" t="str">
        <f>IF(LEFT(results_context_via_permalink_gpt_5_2025_08_07_with_justification_run1[[#This Row],[LLM_response]], 21)="CONTEXT_ACCESSED: yes","X","")</f>
        <v>X</v>
      </c>
      <c r="N51" s="1" t="s">
        <v>25</v>
      </c>
      <c r="O51" s="1" t="s">
        <v>25</v>
      </c>
      <c r="P51" s="1" t="s">
        <v>25</v>
      </c>
      <c r="Q51" s="1" t="s">
        <v>337</v>
      </c>
      <c r="R51" s="1" t="s">
        <v>28</v>
      </c>
      <c r="S51" s="1" t="str">
        <f>IF(results_context_via_permalink_gpt_5_2025_08_07_with_justification_run1[[#This Row],[they_type]]=results_context_via_permalink_gpt_5_2025_08_07_with_justification_run1[[#This Row],[LLM_annotation]],"X","")</f>
        <v>X</v>
      </c>
      <c r="T51" s="1" t="s">
        <v>25</v>
      </c>
    </row>
    <row r="52" spans="1:20" x14ac:dyDescent="0.2">
      <c r="A52" s="1" t="s">
        <v>338</v>
      </c>
      <c r="B52" s="1" t="s">
        <v>339</v>
      </c>
      <c r="C52" s="1" t="s">
        <v>340</v>
      </c>
      <c r="D52" s="1" t="s">
        <v>341</v>
      </c>
      <c r="E52" s="1" t="s">
        <v>47</v>
      </c>
      <c r="F52" s="1" t="s">
        <v>342</v>
      </c>
      <c r="G52" s="1" t="s">
        <v>25</v>
      </c>
      <c r="H52">
        <v>13269496230</v>
      </c>
      <c r="I52" s="1" t="s">
        <v>314</v>
      </c>
      <c r="J52" s="1" t="s">
        <v>27</v>
      </c>
      <c r="K52" s="1" t="s">
        <v>36</v>
      </c>
      <c r="L52" s="1" t="s">
        <v>25</v>
      </c>
      <c r="M52" s="1" t="str">
        <f>IF(LEFT(results_context_via_permalink_gpt_5_2025_08_07_with_justification_run1[[#This Row],[LLM_response]], 21)="CONTEXT_ACCESSED: yes","X","")</f>
        <v/>
      </c>
      <c r="N52" s="1" t="s">
        <v>25</v>
      </c>
      <c r="O52" s="1" t="s">
        <v>25</v>
      </c>
      <c r="P52" s="1" t="s">
        <v>25</v>
      </c>
      <c r="Q52" s="1" t="s">
        <v>343</v>
      </c>
      <c r="R52" s="1" t="s">
        <v>36</v>
      </c>
      <c r="S52" s="1" t="str">
        <f>IF(results_context_via_permalink_gpt_5_2025_08_07_with_justification_run1[[#This Row],[they_type]]=results_context_via_permalink_gpt_5_2025_08_07_with_justification_run1[[#This Row],[LLM_annotation]],"X","")</f>
        <v>X</v>
      </c>
      <c r="T52" s="1" t="s">
        <v>25</v>
      </c>
    </row>
    <row r="53" spans="1:20" x14ac:dyDescent="0.2">
      <c r="A53" s="1" t="s">
        <v>344</v>
      </c>
      <c r="B53" s="1" t="s">
        <v>345</v>
      </c>
      <c r="C53" s="1" t="s">
        <v>346</v>
      </c>
      <c r="D53" s="1" t="s">
        <v>347</v>
      </c>
      <c r="E53" s="1" t="s">
        <v>33</v>
      </c>
      <c r="F53" s="1" t="s">
        <v>348</v>
      </c>
      <c r="G53" s="1" t="s">
        <v>25</v>
      </c>
      <c r="H53">
        <v>13270097640</v>
      </c>
      <c r="I53" s="1" t="s">
        <v>314</v>
      </c>
      <c r="J53" s="1" t="s">
        <v>27</v>
      </c>
      <c r="K53" s="1" t="s">
        <v>28</v>
      </c>
      <c r="L53" s="1" t="s">
        <v>25</v>
      </c>
      <c r="M53" s="1" t="str">
        <f>IF(LEFT(results_context_via_permalink_gpt_5_2025_08_07_with_justification_run1[[#This Row],[LLM_response]], 21)="CONTEXT_ACCESSED: yes","X","")</f>
        <v/>
      </c>
      <c r="N53" s="1" t="s">
        <v>25</v>
      </c>
      <c r="O53" s="1" t="s">
        <v>25</v>
      </c>
      <c r="P53" s="1" t="s">
        <v>25</v>
      </c>
      <c r="Q53" s="1" t="s">
        <v>349</v>
      </c>
      <c r="R53" s="1" t="s">
        <v>28</v>
      </c>
      <c r="S53" s="1" t="str">
        <f>IF(results_context_via_permalink_gpt_5_2025_08_07_with_justification_run1[[#This Row],[they_type]]=results_context_via_permalink_gpt_5_2025_08_07_with_justification_run1[[#This Row],[LLM_annotation]],"X","")</f>
        <v>X</v>
      </c>
      <c r="T53" s="1" t="s">
        <v>25</v>
      </c>
    </row>
    <row r="54" spans="1:20" x14ac:dyDescent="0.2">
      <c r="A54" s="1" t="s">
        <v>350</v>
      </c>
      <c r="B54" s="1" t="s">
        <v>351</v>
      </c>
      <c r="C54" s="1" t="s">
        <v>352</v>
      </c>
      <c r="D54" s="1" t="s">
        <v>353</v>
      </c>
      <c r="E54" s="1" t="s">
        <v>54</v>
      </c>
      <c r="F54" s="1" t="s">
        <v>354</v>
      </c>
      <c r="G54" s="1" t="s">
        <v>25</v>
      </c>
      <c r="H54">
        <v>16651641030</v>
      </c>
      <c r="I54" s="1" t="s">
        <v>26</v>
      </c>
      <c r="J54" s="1" t="s">
        <v>27</v>
      </c>
      <c r="K54" s="1" t="s">
        <v>28</v>
      </c>
      <c r="L54" s="1" t="s">
        <v>25</v>
      </c>
      <c r="M54" s="1" t="str">
        <f>IF(LEFT(results_context_via_permalink_gpt_5_2025_08_07_with_justification_run1[[#This Row],[LLM_response]], 21)="CONTEXT_ACCESSED: yes","X","")</f>
        <v/>
      </c>
      <c r="N54" s="1" t="s">
        <v>25</v>
      </c>
      <c r="O54" s="1" t="s">
        <v>25</v>
      </c>
      <c r="P54" s="1" t="s">
        <v>25</v>
      </c>
      <c r="Q54" s="1" t="s">
        <v>355</v>
      </c>
      <c r="R54" s="1" t="s">
        <v>28</v>
      </c>
      <c r="S54" s="1" t="str">
        <f>IF(results_context_via_permalink_gpt_5_2025_08_07_with_justification_run1[[#This Row],[they_type]]=results_context_via_permalink_gpt_5_2025_08_07_with_justification_run1[[#This Row],[LLM_annotation]],"X","")</f>
        <v>X</v>
      </c>
      <c r="T54" s="1" t="s">
        <v>25</v>
      </c>
    </row>
    <row r="55" spans="1:20" x14ac:dyDescent="0.2">
      <c r="A55" s="1" t="s">
        <v>356</v>
      </c>
      <c r="B55" s="1" t="s">
        <v>357</v>
      </c>
      <c r="C55" s="1" t="s">
        <v>358</v>
      </c>
      <c r="D55" s="1" t="s">
        <v>359</v>
      </c>
      <c r="E55" s="1" t="s">
        <v>23</v>
      </c>
      <c r="F55" s="1" t="s">
        <v>360</v>
      </c>
      <c r="G55" s="1" t="s">
        <v>25</v>
      </c>
      <c r="H55">
        <v>16652192270</v>
      </c>
      <c r="I55" s="1" t="s">
        <v>100</v>
      </c>
      <c r="J55" s="1" t="s">
        <v>27</v>
      </c>
      <c r="K55" s="1" t="s">
        <v>36</v>
      </c>
      <c r="L55" s="1" t="s">
        <v>25</v>
      </c>
      <c r="M55" s="1" t="str">
        <f>IF(LEFT(results_context_via_permalink_gpt_5_2025_08_07_with_justification_run1[[#This Row],[LLM_response]], 21)="CONTEXT_ACCESSED: yes","X","")</f>
        <v/>
      </c>
      <c r="N55" s="1" t="s">
        <v>25</v>
      </c>
      <c r="O55" s="1" t="s">
        <v>25</v>
      </c>
      <c r="P55" s="1" t="s">
        <v>25</v>
      </c>
      <c r="Q55" s="1" t="s">
        <v>361</v>
      </c>
      <c r="R55" s="1" t="s">
        <v>28</v>
      </c>
      <c r="S55" s="1" t="str">
        <f>IF(results_context_via_permalink_gpt_5_2025_08_07_with_justification_run1[[#This Row],[they_type]]=results_context_via_permalink_gpt_5_2025_08_07_with_justification_run1[[#This Row],[LLM_annotation]],"X","")</f>
        <v/>
      </c>
      <c r="T55" s="1" t="s">
        <v>25</v>
      </c>
    </row>
    <row r="56" spans="1:20" x14ac:dyDescent="0.2">
      <c r="A56" s="1" t="s">
        <v>362</v>
      </c>
      <c r="B56" s="1" t="s">
        <v>363</v>
      </c>
      <c r="C56" s="1" t="s">
        <v>364</v>
      </c>
      <c r="D56" s="1" t="s">
        <v>365</v>
      </c>
      <c r="E56" s="1" t="s">
        <v>366</v>
      </c>
      <c r="F56" s="1" t="s">
        <v>367</v>
      </c>
      <c r="G56" s="1" t="s">
        <v>25</v>
      </c>
      <c r="H56">
        <v>15698915200</v>
      </c>
      <c r="I56" s="1" t="s">
        <v>368</v>
      </c>
      <c r="J56" s="1" t="s">
        <v>27</v>
      </c>
      <c r="K56" s="1" t="s">
        <v>36</v>
      </c>
      <c r="L56" s="1" t="s">
        <v>25</v>
      </c>
      <c r="M56" s="1" t="str">
        <f>IF(LEFT(results_context_via_permalink_gpt_5_2025_08_07_with_justification_run1[[#This Row],[LLM_response]], 21)="CONTEXT_ACCESSED: yes","X","")</f>
        <v/>
      </c>
      <c r="N56" s="1" t="s">
        <v>25</v>
      </c>
      <c r="O56" s="1" t="s">
        <v>25</v>
      </c>
      <c r="P56" s="1" t="s">
        <v>25</v>
      </c>
      <c r="Q56" s="1" t="s">
        <v>369</v>
      </c>
      <c r="R56" s="1" t="s">
        <v>36</v>
      </c>
      <c r="S56" s="1" t="str">
        <f>IF(results_context_via_permalink_gpt_5_2025_08_07_with_justification_run1[[#This Row],[they_type]]=results_context_via_permalink_gpt_5_2025_08_07_with_justification_run1[[#This Row],[LLM_annotation]],"X","")</f>
        <v>X</v>
      </c>
      <c r="T56" s="1" t="s">
        <v>25</v>
      </c>
    </row>
    <row r="57" spans="1:20" x14ac:dyDescent="0.2">
      <c r="A57" s="1" t="s">
        <v>370</v>
      </c>
      <c r="B57" s="1" t="s">
        <v>371</v>
      </c>
      <c r="C57" s="1" t="s">
        <v>372</v>
      </c>
      <c r="D57" s="1" t="s">
        <v>373</v>
      </c>
      <c r="E57" s="1" t="s">
        <v>374</v>
      </c>
      <c r="F57" s="1" t="s">
        <v>375</v>
      </c>
      <c r="G57" s="1" t="s">
        <v>25</v>
      </c>
      <c r="H57">
        <v>15698915400</v>
      </c>
      <c r="I57" s="1" t="s">
        <v>376</v>
      </c>
      <c r="J57" s="1" t="s">
        <v>27</v>
      </c>
      <c r="K57" s="1" t="s">
        <v>131</v>
      </c>
      <c r="L57" s="1" t="s">
        <v>27</v>
      </c>
      <c r="M57" s="1" t="str">
        <f>IF(LEFT(results_context_via_permalink_gpt_5_2025_08_07_with_justification_run1[[#This Row],[LLM_response]], 21)="CONTEXT_ACCESSED: yes","X","")</f>
        <v/>
      </c>
      <c r="N57" s="1" t="s">
        <v>25</v>
      </c>
      <c r="O57" s="1" t="s">
        <v>25</v>
      </c>
      <c r="P57" s="1" t="s">
        <v>25</v>
      </c>
      <c r="Q57" s="1" t="s">
        <v>377</v>
      </c>
      <c r="R57" s="1" t="s">
        <v>131</v>
      </c>
      <c r="S57" s="1" t="str">
        <f>IF(results_context_via_permalink_gpt_5_2025_08_07_with_justification_run1[[#This Row],[they_type]]=results_context_via_permalink_gpt_5_2025_08_07_with_justification_run1[[#This Row],[LLM_annotation]],"X","")</f>
        <v>X</v>
      </c>
      <c r="T57" s="1" t="s">
        <v>25</v>
      </c>
    </row>
    <row r="58" spans="1:20" x14ac:dyDescent="0.2">
      <c r="A58" s="1" t="s">
        <v>378</v>
      </c>
      <c r="B58" s="1" t="s">
        <v>379</v>
      </c>
      <c r="C58" s="1" t="s">
        <v>380</v>
      </c>
      <c r="D58" s="1" t="s">
        <v>381</v>
      </c>
      <c r="E58" s="1" t="s">
        <v>382</v>
      </c>
      <c r="F58" s="1" t="s">
        <v>383</v>
      </c>
      <c r="G58" s="1" t="s">
        <v>25</v>
      </c>
      <c r="H58">
        <v>16225656640</v>
      </c>
      <c r="I58" s="1" t="s">
        <v>368</v>
      </c>
      <c r="J58" s="1" t="s">
        <v>27</v>
      </c>
      <c r="K58" s="1" t="s">
        <v>28</v>
      </c>
      <c r="L58" s="1" t="s">
        <v>25</v>
      </c>
      <c r="M58" s="1" t="str">
        <f>IF(LEFT(results_context_via_permalink_gpt_5_2025_08_07_with_justification_run1[[#This Row],[LLM_response]], 21)="CONTEXT_ACCESSED: yes","X","")</f>
        <v>X</v>
      </c>
      <c r="N58" s="1" t="s">
        <v>25</v>
      </c>
      <c r="O58" s="1" t="s">
        <v>25</v>
      </c>
      <c r="P58" s="1" t="s">
        <v>25</v>
      </c>
      <c r="Q58" s="1" t="s">
        <v>384</v>
      </c>
      <c r="R58" s="1" t="s">
        <v>28</v>
      </c>
      <c r="S58" s="1" t="str">
        <f>IF(results_context_via_permalink_gpt_5_2025_08_07_with_justification_run1[[#This Row],[they_type]]=results_context_via_permalink_gpt_5_2025_08_07_with_justification_run1[[#This Row],[LLM_annotation]],"X","")</f>
        <v>X</v>
      </c>
      <c r="T58" s="1" t="s">
        <v>25</v>
      </c>
    </row>
    <row r="59" spans="1:20" x14ac:dyDescent="0.2">
      <c r="A59" s="1" t="s">
        <v>385</v>
      </c>
      <c r="B59" s="1" t="s">
        <v>386</v>
      </c>
      <c r="C59" s="1" t="s">
        <v>387</v>
      </c>
      <c r="D59" s="1" t="s">
        <v>388</v>
      </c>
      <c r="E59" s="1" t="s">
        <v>389</v>
      </c>
      <c r="F59" s="1" t="s">
        <v>390</v>
      </c>
      <c r="G59" s="1" t="s">
        <v>25</v>
      </c>
      <c r="H59">
        <v>15698920820</v>
      </c>
      <c r="I59" s="1" t="s">
        <v>391</v>
      </c>
      <c r="J59" s="1" t="s">
        <v>27</v>
      </c>
      <c r="K59" s="1" t="s">
        <v>36</v>
      </c>
      <c r="L59" s="1" t="s">
        <v>25</v>
      </c>
      <c r="M59" s="1" t="str">
        <f>IF(LEFT(results_context_via_permalink_gpt_5_2025_08_07_with_justification_run1[[#This Row],[LLM_response]], 21)="CONTEXT_ACCESSED: yes","X","")</f>
        <v/>
      </c>
      <c r="N59" s="1" t="s">
        <v>25</v>
      </c>
      <c r="O59" s="1" t="s">
        <v>25</v>
      </c>
      <c r="P59" s="1" t="s">
        <v>25</v>
      </c>
      <c r="Q59" s="1" t="s">
        <v>392</v>
      </c>
      <c r="R59" s="1" t="s">
        <v>36</v>
      </c>
      <c r="S59" s="1" t="str">
        <f>IF(results_context_via_permalink_gpt_5_2025_08_07_with_justification_run1[[#This Row],[they_type]]=results_context_via_permalink_gpt_5_2025_08_07_with_justification_run1[[#This Row],[LLM_annotation]],"X","")</f>
        <v>X</v>
      </c>
      <c r="T59" s="1" t="s">
        <v>25</v>
      </c>
    </row>
    <row r="60" spans="1:20" x14ac:dyDescent="0.2">
      <c r="A60" s="1" t="s">
        <v>393</v>
      </c>
      <c r="B60" s="1" t="s">
        <v>394</v>
      </c>
      <c r="C60" s="1" t="s">
        <v>395</v>
      </c>
      <c r="D60" s="1" t="s">
        <v>396</v>
      </c>
      <c r="E60" s="1" t="s">
        <v>366</v>
      </c>
      <c r="F60" s="1" t="s">
        <v>397</v>
      </c>
      <c r="G60" s="1" t="s">
        <v>25</v>
      </c>
      <c r="H60">
        <v>16225700220</v>
      </c>
      <c r="I60" s="1" t="s">
        <v>42</v>
      </c>
      <c r="J60" s="1" t="s">
        <v>27</v>
      </c>
      <c r="K60" s="1" t="s">
        <v>28</v>
      </c>
      <c r="L60" s="1" t="s">
        <v>25</v>
      </c>
      <c r="M60" s="1" t="str">
        <f>IF(LEFT(results_context_via_permalink_gpt_5_2025_08_07_with_justification_run1[[#This Row],[LLM_response]], 21)="CONTEXT_ACCESSED: yes","X","")</f>
        <v/>
      </c>
      <c r="N60" s="1" t="s">
        <v>25</v>
      </c>
      <c r="O60" s="1" t="s">
        <v>25</v>
      </c>
      <c r="P60" s="1" t="s">
        <v>25</v>
      </c>
      <c r="Q60" s="1" t="s">
        <v>398</v>
      </c>
      <c r="R60" s="1" t="s">
        <v>28</v>
      </c>
      <c r="S60" s="1" t="str">
        <f>IF(results_context_via_permalink_gpt_5_2025_08_07_with_justification_run1[[#This Row],[they_type]]=results_context_via_permalink_gpt_5_2025_08_07_with_justification_run1[[#This Row],[LLM_annotation]],"X","")</f>
        <v>X</v>
      </c>
      <c r="T60" s="1" t="s">
        <v>25</v>
      </c>
    </row>
    <row r="61" spans="1:20" x14ac:dyDescent="0.2">
      <c r="A61" s="1" t="s">
        <v>399</v>
      </c>
      <c r="B61" s="1" t="s">
        <v>400</v>
      </c>
      <c r="C61" s="1" t="s">
        <v>401</v>
      </c>
      <c r="D61" s="1" t="s">
        <v>402</v>
      </c>
      <c r="E61" s="1" t="s">
        <v>366</v>
      </c>
      <c r="F61" s="1" t="s">
        <v>403</v>
      </c>
      <c r="G61" s="1" t="s">
        <v>25</v>
      </c>
      <c r="H61">
        <v>15698925740</v>
      </c>
      <c r="I61" s="1" t="s">
        <v>404</v>
      </c>
      <c r="J61" s="1" t="s">
        <v>27</v>
      </c>
      <c r="K61" s="1" t="s">
        <v>36</v>
      </c>
      <c r="L61" s="1" t="s">
        <v>25</v>
      </c>
      <c r="M61" s="1" t="str">
        <f>IF(LEFT(results_context_via_permalink_gpt_5_2025_08_07_with_justification_run1[[#This Row],[LLM_response]], 21)="CONTEXT_ACCESSED: yes","X","")</f>
        <v/>
      </c>
      <c r="N61" s="1" t="s">
        <v>25</v>
      </c>
      <c r="O61" s="1" t="s">
        <v>25</v>
      </c>
      <c r="P61" s="1" t="s">
        <v>25</v>
      </c>
      <c r="Q61" s="1" t="s">
        <v>405</v>
      </c>
      <c r="R61" s="1" t="s">
        <v>36</v>
      </c>
      <c r="S61" s="1" t="str">
        <f>IF(results_context_via_permalink_gpt_5_2025_08_07_with_justification_run1[[#This Row],[they_type]]=results_context_via_permalink_gpt_5_2025_08_07_with_justification_run1[[#This Row],[LLM_annotation]],"X","")</f>
        <v>X</v>
      </c>
      <c r="T61" s="1" t="s">
        <v>25</v>
      </c>
    </row>
    <row r="62" spans="1:20" x14ac:dyDescent="0.2">
      <c r="A62" s="1" t="s">
        <v>406</v>
      </c>
      <c r="B62" s="1" t="s">
        <v>407</v>
      </c>
      <c r="C62" s="1" t="s">
        <v>408</v>
      </c>
      <c r="D62" s="1" t="s">
        <v>409</v>
      </c>
      <c r="E62" s="1" t="s">
        <v>410</v>
      </c>
      <c r="F62" s="1" t="s">
        <v>411</v>
      </c>
      <c r="G62" s="1" t="s">
        <v>25</v>
      </c>
      <c r="H62">
        <v>15698933190</v>
      </c>
      <c r="I62" s="1" t="s">
        <v>368</v>
      </c>
      <c r="J62" s="1" t="s">
        <v>27</v>
      </c>
      <c r="K62" s="1" t="s">
        <v>36</v>
      </c>
      <c r="L62" s="1" t="s">
        <v>25</v>
      </c>
      <c r="M62" s="1" t="str">
        <f>IF(LEFT(results_context_via_permalink_gpt_5_2025_08_07_with_justification_run1[[#This Row],[LLM_response]], 21)="CONTEXT_ACCESSED: yes","X","")</f>
        <v/>
      </c>
      <c r="N62" s="1" t="s">
        <v>25</v>
      </c>
      <c r="O62" s="1" t="s">
        <v>25</v>
      </c>
      <c r="P62" s="1" t="s">
        <v>25</v>
      </c>
      <c r="Q62" s="1" t="s">
        <v>412</v>
      </c>
      <c r="R62" s="1" t="s">
        <v>36</v>
      </c>
      <c r="S62" s="1" t="str">
        <f>IF(results_context_via_permalink_gpt_5_2025_08_07_with_justification_run1[[#This Row],[they_type]]=results_context_via_permalink_gpt_5_2025_08_07_with_justification_run1[[#This Row],[LLM_annotation]],"X","")</f>
        <v>X</v>
      </c>
      <c r="T62" s="1" t="s">
        <v>25</v>
      </c>
    </row>
    <row r="63" spans="1:20" x14ac:dyDescent="0.2">
      <c r="A63" s="1" t="s">
        <v>413</v>
      </c>
      <c r="B63" s="1" t="s">
        <v>414</v>
      </c>
      <c r="C63" s="1" t="s">
        <v>415</v>
      </c>
      <c r="D63" s="1" t="s">
        <v>416</v>
      </c>
      <c r="E63" s="1" t="s">
        <v>417</v>
      </c>
      <c r="F63" s="1" t="s">
        <v>418</v>
      </c>
      <c r="G63" s="1" t="s">
        <v>25</v>
      </c>
      <c r="H63">
        <v>16225773950</v>
      </c>
      <c r="I63" s="1" t="s">
        <v>404</v>
      </c>
      <c r="J63" s="1" t="s">
        <v>27</v>
      </c>
      <c r="K63" s="1" t="s">
        <v>28</v>
      </c>
      <c r="L63" s="1" t="s">
        <v>25</v>
      </c>
      <c r="M63" s="1" t="str">
        <f>IF(LEFT(results_context_via_permalink_gpt_5_2025_08_07_with_justification_run1[[#This Row],[LLM_response]], 21)="CONTEXT_ACCESSED: yes","X","")</f>
        <v/>
      </c>
      <c r="N63" s="1" t="s">
        <v>25</v>
      </c>
      <c r="O63" s="1" t="s">
        <v>27</v>
      </c>
      <c r="P63" s="1" t="s">
        <v>25</v>
      </c>
      <c r="Q63" s="1" t="s">
        <v>419</v>
      </c>
      <c r="R63" s="1" t="s">
        <v>28</v>
      </c>
      <c r="S63" s="1" t="str">
        <f>IF(results_context_via_permalink_gpt_5_2025_08_07_with_justification_run1[[#This Row],[they_type]]=results_context_via_permalink_gpt_5_2025_08_07_with_justification_run1[[#This Row],[LLM_annotation]],"X","")</f>
        <v>X</v>
      </c>
      <c r="T63" s="1" t="s">
        <v>25</v>
      </c>
    </row>
    <row r="64" spans="1:20" x14ac:dyDescent="0.2">
      <c r="A64" s="1" t="s">
        <v>420</v>
      </c>
      <c r="B64" s="1" t="s">
        <v>421</v>
      </c>
      <c r="C64" s="1" t="s">
        <v>422</v>
      </c>
      <c r="D64" s="1" t="s">
        <v>423</v>
      </c>
      <c r="E64" s="1" t="s">
        <v>424</v>
      </c>
      <c r="F64" s="1" t="s">
        <v>425</v>
      </c>
      <c r="G64" s="1" t="s">
        <v>426</v>
      </c>
      <c r="H64">
        <v>16225787990</v>
      </c>
      <c r="I64" s="1" t="s">
        <v>427</v>
      </c>
      <c r="J64" s="1" t="s">
        <v>27</v>
      </c>
      <c r="K64" s="1" t="s">
        <v>131</v>
      </c>
      <c r="L64" s="1" t="s">
        <v>27</v>
      </c>
      <c r="M64" s="1" t="str">
        <f>IF(LEFT(results_context_via_permalink_gpt_5_2025_08_07_with_justification_run1[[#This Row],[LLM_response]], 21)="CONTEXT_ACCESSED: yes","X","")</f>
        <v>X</v>
      </c>
      <c r="N64" s="1" t="s">
        <v>25</v>
      </c>
      <c r="O64" s="1" t="s">
        <v>25</v>
      </c>
      <c r="P64" s="1" t="s">
        <v>27</v>
      </c>
      <c r="Q64" s="1" t="s">
        <v>428</v>
      </c>
      <c r="R64" s="1" t="s">
        <v>131</v>
      </c>
      <c r="S64" s="1" t="str">
        <f>IF(results_context_via_permalink_gpt_5_2025_08_07_with_justification_run1[[#This Row],[they_type]]=results_context_via_permalink_gpt_5_2025_08_07_with_justification_run1[[#This Row],[LLM_annotation]],"X","")</f>
        <v>X</v>
      </c>
      <c r="T64" s="1" t="s">
        <v>25</v>
      </c>
    </row>
    <row r="65" spans="1:20" x14ac:dyDescent="0.2">
      <c r="A65" s="1" t="s">
        <v>429</v>
      </c>
      <c r="B65" s="1" t="s">
        <v>430</v>
      </c>
      <c r="C65" s="1" t="s">
        <v>431</v>
      </c>
      <c r="D65" s="1" t="s">
        <v>432</v>
      </c>
      <c r="E65" s="1" t="s">
        <v>433</v>
      </c>
      <c r="F65" s="1" t="s">
        <v>434</v>
      </c>
      <c r="G65" s="1" t="s">
        <v>25</v>
      </c>
      <c r="H65">
        <v>16232147460</v>
      </c>
      <c r="I65" s="1" t="s">
        <v>427</v>
      </c>
      <c r="J65" s="1" t="s">
        <v>27</v>
      </c>
      <c r="K65" s="1" t="s">
        <v>28</v>
      </c>
      <c r="L65" s="1" t="s">
        <v>25</v>
      </c>
      <c r="M65" s="1" t="str">
        <f>IF(LEFT(results_context_via_permalink_gpt_5_2025_08_07_with_justification_run1[[#This Row],[LLM_response]], 21)="CONTEXT_ACCESSED: yes","X","")</f>
        <v/>
      </c>
      <c r="N65" s="1" t="s">
        <v>25</v>
      </c>
      <c r="O65" s="1" t="s">
        <v>25</v>
      </c>
      <c r="P65" s="1" t="s">
        <v>25</v>
      </c>
      <c r="Q65" s="1" t="s">
        <v>435</v>
      </c>
      <c r="R65" s="1" t="s">
        <v>28</v>
      </c>
      <c r="S65" s="1" t="str">
        <f>IF(results_context_via_permalink_gpt_5_2025_08_07_with_justification_run1[[#This Row],[they_type]]=results_context_via_permalink_gpt_5_2025_08_07_with_justification_run1[[#This Row],[LLM_annotation]],"X","")</f>
        <v>X</v>
      </c>
      <c r="T65" s="1" t="s">
        <v>25</v>
      </c>
    </row>
    <row r="66" spans="1:20" x14ac:dyDescent="0.2">
      <c r="A66" s="1" t="s">
        <v>436</v>
      </c>
      <c r="B66" s="1" t="s">
        <v>437</v>
      </c>
      <c r="C66" s="1" t="s">
        <v>438</v>
      </c>
      <c r="D66" s="1" t="s">
        <v>439</v>
      </c>
      <c r="E66" s="1" t="s">
        <v>440</v>
      </c>
      <c r="F66" s="1" t="s">
        <v>441</v>
      </c>
      <c r="G66" s="1" t="s">
        <v>25</v>
      </c>
      <c r="H66">
        <v>15698941590</v>
      </c>
      <c r="I66" s="1" t="s">
        <v>404</v>
      </c>
      <c r="J66" s="1" t="s">
        <v>27</v>
      </c>
      <c r="K66" s="1" t="s">
        <v>131</v>
      </c>
      <c r="L66" s="1" t="s">
        <v>25</v>
      </c>
      <c r="M66" s="1" t="str">
        <f>IF(LEFT(results_context_via_permalink_gpt_5_2025_08_07_with_justification_run1[[#This Row],[LLM_response]], 21)="CONTEXT_ACCESSED: yes","X","")</f>
        <v/>
      </c>
      <c r="N66" s="1" t="s">
        <v>25</v>
      </c>
      <c r="O66" s="1" t="s">
        <v>25</v>
      </c>
      <c r="P66" s="1" t="s">
        <v>25</v>
      </c>
      <c r="Q66" s="1" t="s">
        <v>442</v>
      </c>
      <c r="R66" s="1" t="s">
        <v>131</v>
      </c>
      <c r="S66" s="1" t="str">
        <f>IF(results_context_via_permalink_gpt_5_2025_08_07_with_justification_run1[[#This Row],[they_type]]=results_context_via_permalink_gpt_5_2025_08_07_with_justification_run1[[#This Row],[LLM_annotation]],"X","")</f>
        <v>X</v>
      </c>
      <c r="T66" s="1" t="s">
        <v>25</v>
      </c>
    </row>
    <row r="67" spans="1:20" x14ac:dyDescent="0.2">
      <c r="A67" s="1" t="s">
        <v>443</v>
      </c>
      <c r="B67" s="1" t="s">
        <v>444</v>
      </c>
      <c r="C67" s="1" t="s">
        <v>445</v>
      </c>
      <c r="D67" s="1" t="s">
        <v>446</v>
      </c>
      <c r="E67" s="1" t="s">
        <v>447</v>
      </c>
      <c r="F67" s="1" t="s">
        <v>448</v>
      </c>
      <c r="G67" s="1" t="s">
        <v>449</v>
      </c>
      <c r="H67">
        <v>16225847490</v>
      </c>
      <c r="I67" s="1" t="s">
        <v>450</v>
      </c>
      <c r="J67" s="1" t="s">
        <v>27</v>
      </c>
      <c r="K67" s="1" t="s">
        <v>28</v>
      </c>
      <c r="L67" s="1" t="s">
        <v>25</v>
      </c>
      <c r="M67" s="1" t="str">
        <f>IF(LEFT(results_context_via_permalink_gpt_5_2025_08_07_with_justification_run1[[#This Row],[LLM_response]], 21)="CONTEXT_ACCESSED: yes","X","")</f>
        <v/>
      </c>
      <c r="N67" s="1" t="s">
        <v>25</v>
      </c>
      <c r="O67" s="1" t="s">
        <v>27</v>
      </c>
      <c r="P67" s="1" t="s">
        <v>25</v>
      </c>
      <c r="Q67" s="1" t="s">
        <v>451</v>
      </c>
      <c r="R67" s="1" t="s">
        <v>28</v>
      </c>
      <c r="S67" s="1" t="str">
        <f>IF(results_context_via_permalink_gpt_5_2025_08_07_with_justification_run1[[#This Row],[they_type]]=results_context_via_permalink_gpt_5_2025_08_07_with_justification_run1[[#This Row],[LLM_annotation]],"X","")</f>
        <v>X</v>
      </c>
      <c r="T67" s="1" t="s">
        <v>25</v>
      </c>
    </row>
    <row r="68" spans="1:20" x14ac:dyDescent="0.2">
      <c r="A68" s="1" t="s">
        <v>452</v>
      </c>
      <c r="B68" s="1" t="s">
        <v>453</v>
      </c>
      <c r="C68" s="1" t="s">
        <v>454</v>
      </c>
      <c r="D68" s="1" t="s">
        <v>455</v>
      </c>
      <c r="E68" s="1" t="s">
        <v>456</v>
      </c>
      <c r="F68" s="1" t="s">
        <v>457</v>
      </c>
      <c r="G68" s="1" t="s">
        <v>25</v>
      </c>
      <c r="H68">
        <v>16225918240</v>
      </c>
      <c r="I68" s="1" t="s">
        <v>450</v>
      </c>
      <c r="J68" s="1" t="s">
        <v>27</v>
      </c>
      <c r="K68" s="1" t="s">
        <v>36</v>
      </c>
      <c r="L68" s="1" t="s">
        <v>25</v>
      </c>
      <c r="M68" s="1" t="str">
        <f>IF(LEFT(results_context_via_permalink_gpt_5_2025_08_07_with_justification_run1[[#This Row],[LLM_response]], 21)="CONTEXT_ACCESSED: yes","X","")</f>
        <v/>
      </c>
      <c r="N68" s="1" t="s">
        <v>25</v>
      </c>
      <c r="O68" s="1" t="s">
        <v>25</v>
      </c>
      <c r="P68" s="1" t="s">
        <v>25</v>
      </c>
      <c r="Q68" s="1" t="s">
        <v>458</v>
      </c>
      <c r="R68" s="1" t="s">
        <v>36</v>
      </c>
      <c r="S68" s="1" t="str">
        <f>IF(results_context_via_permalink_gpt_5_2025_08_07_with_justification_run1[[#This Row],[they_type]]=results_context_via_permalink_gpt_5_2025_08_07_with_justification_run1[[#This Row],[LLM_annotation]],"X","")</f>
        <v>X</v>
      </c>
      <c r="T68" s="1" t="s">
        <v>25</v>
      </c>
    </row>
    <row r="69" spans="1:20" x14ac:dyDescent="0.2">
      <c r="A69" s="1" t="s">
        <v>459</v>
      </c>
      <c r="B69" s="1" t="s">
        <v>460</v>
      </c>
      <c r="C69" s="1" t="s">
        <v>461</v>
      </c>
      <c r="D69" s="1" t="s">
        <v>462</v>
      </c>
      <c r="E69" s="1" t="s">
        <v>463</v>
      </c>
      <c r="F69" s="1" t="s">
        <v>464</v>
      </c>
      <c r="G69" s="1" t="s">
        <v>25</v>
      </c>
      <c r="H69">
        <v>15699092200</v>
      </c>
      <c r="I69" s="1" t="s">
        <v>35</v>
      </c>
      <c r="J69" s="1" t="s">
        <v>27</v>
      </c>
      <c r="K69" s="1" t="s">
        <v>28</v>
      </c>
      <c r="L69" s="1" t="s">
        <v>27</v>
      </c>
      <c r="M69" s="1" t="str">
        <f>IF(LEFT(results_context_via_permalink_gpt_5_2025_08_07_with_justification_run1[[#This Row],[LLM_response]], 21)="CONTEXT_ACCESSED: yes","X","")</f>
        <v/>
      </c>
      <c r="N69" s="1" t="s">
        <v>25</v>
      </c>
      <c r="O69" s="1" t="s">
        <v>27</v>
      </c>
      <c r="P69" s="1" t="s">
        <v>25</v>
      </c>
      <c r="Q69" s="1" t="s">
        <v>465</v>
      </c>
      <c r="R69" s="1" t="s">
        <v>28</v>
      </c>
      <c r="S69" s="1" t="str">
        <f>IF(results_context_via_permalink_gpt_5_2025_08_07_with_justification_run1[[#This Row],[they_type]]=results_context_via_permalink_gpt_5_2025_08_07_with_justification_run1[[#This Row],[LLM_annotation]],"X","")</f>
        <v>X</v>
      </c>
      <c r="T69" s="1" t="s">
        <v>25</v>
      </c>
    </row>
    <row r="70" spans="1:20" x14ac:dyDescent="0.2">
      <c r="A70" s="1" t="s">
        <v>466</v>
      </c>
      <c r="B70" s="1" t="s">
        <v>421</v>
      </c>
      <c r="C70" s="1" t="s">
        <v>467</v>
      </c>
      <c r="D70" s="1" t="s">
        <v>468</v>
      </c>
      <c r="E70" s="1" t="s">
        <v>469</v>
      </c>
      <c r="F70" s="1" t="s">
        <v>470</v>
      </c>
      <c r="G70" s="1" t="s">
        <v>25</v>
      </c>
      <c r="H70">
        <v>15698964830</v>
      </c>
      <c r="I70" s="1" t="s">
        <v>471</v>
      </c>
      <c r="J70" s="1" t="s">
        <v>27</v>
      </c>
      <c r="K70" s="1" t="s">
        <v>131</v>
      </c>
      <c r="L70" s="1" t="s">
        <v>27</v>
      </c>
      <c r="M70" s="1" t="str">
        <f>IF(LEFT(results_context_via_permalink_gpt_5_2025_08_07_with_justification_run1[[#This Row],[LLM_response]], 21)="CONTEXT_ACCESSED: yes","X","")</f>
        <v>X</v>
      </c>
      <c r="N70" s="1" t="s">
        <v>25</v>
      </c>
      <c r="O70" s="1" t="s">
        <v>25</v>
      </c>
      <c r="P70" s="1" t="s">
        <v>27</v>
      </c>
      <c r="Q70" s="1" t="s">
        <v>472</v>
      </c>
      <c r="R70" s="1" t="s">
        <v>131</v>
      </c>
      <c r="S70" s="1" t="str">
        <f>IF(results_context_via_permalink_gpt_5_2025_08_07_with_justification_run1[[#This Row],[they_type]]=results_context_via_permalink_gpt_5_2025_08_07_with_justification_run1[[#This Row],[LLM_annotation]],"X","")</f>
        <v>X</v>
      </c>
      <c r="T70" s="1" t="s">
        <v>25</v>
      </c>
    </row>
    <row r="71" spans="1:20" x14ac:dyDescent="0.2">
      <c r="A71" s="1" t="s">
        <v>473</v>
      </c>
      <c r="B71" s="1" t="s">
        <v>474</v>
      </c>
      <c r="C71" s="1" t="s">
        <v>475</v>
      </c>
      <c r="D71" s="1" t="s">
        <v>476</v>
      </c>
      <c r="E71" s="1" t="s">
        <v>410</v>
      </c>
      <c r="F71" s="1" t="s">
        <v>477</v>
      </c>
      <c r="G71" s="1" t="s">
        <v>25</v>
      </c>
      <c r="H71">
        <v>15698965080</v>
      </c>
      <c r="I71" s="1" t="s">
        <v>450</v>
      </c>
      <c r="J71" s="1" t="s">
        <v>27</v>
      </c>
      <c r="K71" s="1" t="s">
        <v>131</v>
      </c>
      <c r="L71" s="1" t="s">
        <v>25</v>
      </c>
      <c r="M71" s="1" t="str">
        <f>IF(LEFT(results_context_via_permalink_gpt_5_2025_08_07_with_justification_run1[[#This Row],[LLM_response]], 21)="CONTEXT_ACCESSED: yes","X","")</f>
        <v/>
      </c>
      <c r="N71" s="1" t="s">
        <v>25</v>
      </c>
      <c r="O71" s="1" t="s">
        <v>25</v>
      </c>
      <c r="P71" s="1" t="s">
        <v>25</v>
      </c>
      <c r="Q71" s="1" t="s">
        <v>478</v>
      </c>
      <c r="R71" s="1" t="s">
        <v>131</v>
      </c>
      <c r="S71" s="1" t="str">
        <f>IF(results_context_via_permalink_gpt_5_2025_08_07_with_justification_run1[[#This Row],[they_type]]=results_context_via_permalink_gpt_5_2025_08_07_with_justification_run1[[#This Row],[LLM_annotation]],"X","")</f>
        <v>X</v>
      </c>
      <c r="T71" s="1" t="s">
        <v>25</v>
      </c>
    </row>
    <row r="72" spans="1:20" x14ac:dyDescent="0.2">
      <c r="A72" s="1" t="s">
        <v>479</v>
      </c>
      <c r="B72" s="1" t="s">
        <v>480</v>
      </c>
      <c r="C72" s="1" t="s">
        <v>481</v>
      </c>
      <c r="D72" s="1" t="s">
        <v>482</v>
      </c>
      <c r="E72" s="1" t="s">
        <v>483</v>
      </c>
      <c r="F72" s="1" t="s">
        <v>484</v>
      </c>
      <c r="G72" s="1" t="s">
        <v>25</v>
      </c>
      <c r="H72">
        <v>15698967280</v>
      </c>
      <c r="I72" s="1" t="s">
        <v>450</v>
      </c>
      <c r="J72" s="1" t="s">
        <v>27</v>
      </c>
      <c r="K72" s="1" t="s">
        <v>36</v>
      </c>
      <c r="L72" s="1" t="s">
        <v>25</v>
      </c>
      <c r="M72" s="1" t="str">
        <f>IF(LEFT(results_context_via_permalink_gpt_5_2025_08_07_with_justification_run1[[#This Row],[LLM_response]], 21)="CONTEXT_ACCESSED: yes","X","")</f>
        <v/>
      </c>
      <c r="N72" s="1" t="s">
        <v>25</v>
      </c>
      <c r="O72" s="1" t="s">
        <v>25</v>
      </c>
      <c r="P72" s="1" t="s">
        <v>25</v>
      </c>
      <c r="Q72" s="1" t="s">
        <v>485</v>
      </c>
      <c r="R72" s="1" t="s">
        <v>36</v>
      </c>
      <c r="S72" s="1" t="str">
        <f>IF(results_context_via_permalink_gpt_5_2025_08_07_with_justification_run1[[#This Row],[they_type]]=results_context_via_permalink_gpt_5_2025_08_07_with_justification_run1[[#This Row],[LLM_annotation]],"X","")</f>
        <v>X</v>
      </c>
      <c r="T72" s="1" t="s">
        <v>25</v>
      </c>
    </row>
    <row r="73" spans="1:20" x14ac:dyDescent="0.2">
      <c r="A73" s="1" t="s">
        <v>486</v>
      </c>
      <c r="B73" s="1" t="s">
        <v>487</v>
      </c>
      <c r="C73" s="1" t="s">
        <v>488</v>
      </c>
      <c r="D73" s="1" t="s">
        <v>489</v>
      </c>
      <c r="E73" s="1" t="s">
        <v>490</v>
      </c>
      <c r="F73" s="1" t="s">
        <v>491</v>
      </c>
      <c r="G73" s="1" t="s">
        <v>25</v>
      </c>
      <c r="H73">
        <v>15698967640</v>
      </c>
      <c r="I73" s="1" t="s">
        <v>492</v>
      </c>
      <c r="J73" s="1" t="s">
        <v>27</v>
      </c>
      <c r="K73" s="1" t="s">
        <v>131</v>
      </c>
      <c r="L73" s="1" t="s">
        <v>27</v>
      </c>
      <c r="M73" s="1" t="str">
        <f>IF(LEFT(results_context_via_permalink_gpt_5_2025_08_07_with_justification_run1[[#This Row],[LLM_response]], 21)="CONTEXT_ACCESSED: yes","X","")</f>
        <v>X</v>
      </c>
      <c r="N73" s="1" t="s">
        <v>25</v>
      </c>
      <c r="O73" s="1" t="s">
        <v>25</v>
      </c>
      <c r="P73" s="1" t="s">
        <v>27</v>
      </c>
      <c r="Q73" s="1" t="s">
        <v>493</v>
      </c>
      <c r="R73" s="1" t="s">
        <v>131</v>
      </c>
      <c r="S73" s="1" t="str">
        <f>IF(results_context_via_permalink_gpt_5_2025_08_07_with_justification_run1[[#This Row],[they_type]]=results_context_via_permalink_gpt_5_2025_08_07_with_justification_run1[[#This Row],[LLM_annotation]],"X","")</f>
        <v>X</v>
      </c>
      <c r="T73" s="1" t="s">
        <v>25</v>
      </c>
    </row>
    <row r="74" spans="1:20" x14ac:dyDescent="0.2">
      <c r="A74" s="1" t="s">
        <v>494</v>
      </c>
      <c r="B74" s="1" t="s">
        <v>495</v>
      </c>
      <c r="C74" s="1" t="s">
        <v>496</v>
      </c>
      <c r="D74" s="1" t="s">
        <v>497</v>
      </c>
      <c r="E74" s="1" t="s">
        <v>498</v>
      </c>
      <c r="F74" s="1" t="s">
        <v>499</v>
      </c>
      <c r="G74" s="1" t="s">
        <v>500</v>
      </c>
      <c r="H74">
        <v>15698970320</v>
      </c>
      <c r="I74" s="1" t="s">
        <v>450</v>
      </c>
      <c r="J74" s="1" t="s">
        <v>27</v>
      </c>
      <c r="K74" s="1" t="s">
        <v>131</v>
      </c>
      <c r="L74" s="1" t="s">
        <v>25</v>
      </c>
      <c r="M74" s="1" t="str">
        <f>IF(LEFT(results_context_via_permalink_gpt_5_2025_08_07_with_justification_run1[[#This Row],[LLM_response]], 21)="CONTEXT_ACCESSED: yes","X","")</f>
        <v/>
      </c>
      <c r="N74" s="1" t="s">
        <v>25</v>
      </c>
      <c r="O74" s="1" t="s">
        <v>25</v>
      </c>
      <c r="P74" s="1" t="s">
        <v>25</v>
      </c>
      <c r="Q74" s="1" t="s">
        <v>501</v>
      </c>
      <c r="R74" s="1" t="s">
        <v>131</v>
      </c>
      <c r="S74" s="1" t="str">
        <f>IF(results_context_via_permalink_gpt_5_2025_08_07_with_justification_run1[[#This Row],[they_type]]=results_context_via_permalink_gpt_5_2025_08_07_with_justification_run1[[#This Row],[LLM_annotation]],"X","")</f>
        <v>X</v>
      </c>
      <c r="T74" s="1" t="s">
        <v>25</v>
      </c>
    </row>
    <row r="75" spans="1:20" x14ac:dyDescent="0.2">
      <c r="A75" s="1" t="s">
        <v>502</v>
      </c>
      <c r="B75" s="1" t="s">
        <v>503</v>
      </c>
      <c r="C75" s="1" t="s">
        <v>504</v>
      </c>
      <c r="D75" s="1" t="s">
        <v>505</v>
      </c>
      <c r="E75" s="1" t="s">
        <v>506</v>
      </c>
      <c r="F75" s="1" t="s">
        <v>507</v>
      </c>
      <c r="G75" s="1" t="s">
        <v>25</v>
      </c>
      <c r="H75">
        <v>16226014010</v>
      </c>
      <c r="I75" s="1" t="s">
        <v>450</v>
      </c>
      <c r="J75" s="1" t="s">
        <v>27</v>
      </c>
      <c r="K75" s="1" t="s">
        <v>28</v>
      </c>
      <c r="L75" s="1" t="s">
        <v>25</v>
      </c>
      <c r="M75" s="1" t="str">
        <f>IF(LEFT(results_context_via_permalink_gpt_5_2025_08_07_with_justification_run1[[#This Row],[LLM_response]], 21)="CONTEXT_ACCESSED: yes","X","")</f>
        <v/>
      </c>
      <c r="N75" s="1" t="s">
        <v>25</v>
      </c>
      <c r="O75" s="1" t="s">
        <v>25</v>
      </c>
      <c r="P75" s="1" t="s">
        <v>25</v>
      </c>
      <c r="Q75" s="1" t="s">
        <v>508</v>
      </c>
      <c r="R75" s="1" t="s">
        <v>28</v>
      </c>
      <c r="S75" s="1" t="str">
        <f>IF(results_context_via_permalink_gpt_5_2025_08_07_with_justification_run1[[#This Row],[they_type]]=results_context_via_permalink_gpt_5_2025_08_07_with_justification_run1[[#This Row],[LLM_annotation]],"X","")</f>
        <v>X</v>
      </c>
      <c r="T75" s="1" t="s">
        <v>25</v>
      </c>
    </row>
    <row r="76" spans="1:20" x14ac:dyDescent="0.2">
      <c r="A76" s="1" t="s">
        <v>509</v>
      </c>
      <c r="B76" s="1" t="s">
        <v>510</v>
      </c>
      <c r="C76" s="1" t="s">
        <v>511</v>
      </c>
      <c r="D76" s="1" t="s">
        <v>512</v>
      </c>
      <c r="E76" s="1" t="s">
        <v>513</v>
      </c>
      <c r="F76" s="1" t="s">
        <v>514</v>
      </c>
      <c r="G76" s="1" t="s">
        <v>25</v>
      </c>
      <c r="H76">
        <v>15698974080</v>
      </c>
      <c r="I76" s="1" t="s">
        <v>450</v>
      </c>
      <c r="J76" s="1" t="s">
        <v>27</v>
      </c>
      <c r="K76" s="1" t="s">
        <v>36</v>
      </c>
      <c r="L76" s="1" t="s">
        <v>25</v>
      </c>
      <c r="M76" s="1" t="str">
        <f>IF(LEFT(results_context_via_permalink_gpt_5_2025_08_07_with_justification_run1[[#This Row],[LLM_response]], 21)="CONTEXT_ACCESSED: yes","X","")</f>
        <v/>
      </c>
      <c r="N76" s="1" t="s">
        <v>25</v>
      </c>
      <c r="O76" s="1" t="s">
        <v>25</v>
      </c>
      <c r="P76" s="1" t="s">
        <v>25</v>
      </c>
      <c r="Q76" s="1" t="s">
        <v>515</v>
      </c>
      <c r="R76" s="1" t="s">
        <v>36</v>
      </c>
      <c r="S76" s="1" t="str">
        <f>IF(results_context_via_permalink_gpt_5_2025_08_07_with_justification_run1[[#This Row],[they_type]]=results_context_via_permalink_gpt_5_2025_08_07_with_justification_run1[[#This Row],[LLM_annotation]],"X","")</f>
        <v>X</v>
      </c>
      <c r="T76" s="1" t="s">
        <v>25</v>
      </c>
    </row>
    <row r="77" spans="1:20" x14ac:dyDescent="0.2">
      <c r="A77" s="1" t="s">
        <v>516</v>
      </c>
      <c r="B77" s="1" t="s">
        <v>517</v>
      </c>
      <c r="C77" s="1" t="s">
        <v>518</v>
      </c>
      <c r="D77" s="1" t="s">
        <v>519</v>
      </c>
      <c r="E77" s="1" t="s">
        <v>520</v>
      </c>
      <c r="F77" s="1" t="s">
        <v>521</v>
      </c>
      <c r="G77" s="1" t="s">
        <v>25</v>
      </c>
      <c r="H77">
        <v>15698974670</v>
      </c>
      <c r="I77" s="1" t="s">
        <v>450</v>
      </c>
      <c r="J77" s="1" t="s">
        <v>27</v>
      </c>
      <c r="K77" s="1" t="s">
        <v>131</v>
      </c>
      <c r="L77" s="1" t="s">
        <v>25</v>
      </c>
      <c r="M77" s="1" t="str">
        <f>IF(LEFT(results_context_via_permalink_gpt_5_2025_08_07_with_justification_run1[[#This Row],[LLM_response]], 21)="CONTEXT_ACCESSED: yes","X","")</f>
        <v/>
      </c>
      <c r="N77" s="1" t="s">
        <v>25</v>
      </c>
      <c r="O77" s="1" t="s">
        <v>25</v>
      </c>
      <c r="P77" s="1" t="s">
        <v>25</v>
      </c>
      <c r="Q77" s="1" t="s">
        <v>522</v>
      </c>
      <c r="R77" s="1" t="s">
        <v>131</v>
      </c>
      <c r="S77" s="1" t="str">
        <f>IF(results_context_via_permalink_gpt_5_2025_08_07_with_justification_run1[[#This Row],[they_type]]=results_context_via_permalink_gpt_5_2025_08_07_with_justification_run1[[#This Row],[LLM_annotation]],"X","")</f>
        <v>X</v>
      </c>
      <c r="T77" s="1" t="s">
        <v>25</v>
      </c>
    </row>
    <row r="78" spans="1:20" x14ac:dyDescent="0.2">
      <c r="A78" s="1" t="s">
        <v>523</v>
      </c>
      <c r="B78" s="1" t="s">
        <v>524</v>
      </c>
      <c r="C78" s="1" t="s">
        <v>525</v>
      </c>
      <c r="D78" s="1" t="s">
        <v>526</v>
      </c>
      <c r="E78" s="1" t="s">
        <v>527</v>
      </c>
      <c r="F78" s="1" t="s">
        <v>528</v>
      </c>
      <c r="G78" s="1" t="s">
        <v>25</v>
      </c>
      <c r="H78">
        <v>16226035700</v>
      </c>
      <c r="I78" s="1" t="s">
        <v>368</v>
      </c>
      <c r="J78" s="1" t="s">
        <v>27</v>
      </c>
      <c r="K78" s="1" t="s">
        <v>28</v>
      </c>
      <c r="L78" s="1" t="s">
        <v>25</v>
      </c>
      <c r="M78" s="1" t="str">
        <f>IF(LEFT(results_context_via_permalink_gpt_5_2025_08_07_with_justification_run1[[#This Row],[LLM_response]], 21)="CONTEXT_ACCESSED: yes","X","")</f>
        <v/>
      </c>
      <c r="N78" s="1" t="s">
        <v>25</v>
      </c>
      <c r="O78" s="1" t="s">
        <v>25</v>
      </c>
      <c r="P78" s="1" t="s">
        <v>25</v>
      </c>
      <c r="Q78" s="1" t="s">
        <v>529</v>
      </c>
      <c r="R78" s="1" t="s">
        <v>28</v>
      </c>
      <c r="S78" s="1" t="str">
        <f>IF(results_context_via_permalink_gpt_5_2025_08_07_with_justification_run1[[#This Row],[they_type]]=results_context_via_permalink_gpt_5_2025_08_07_with_justification_run1[[#This Row],[LLM_annotation]],"X","")</f>
        <v>X</v>
      </c>
      <c r="T78" s="1" t="s">
        <v>25</v>
      </c>
    </row>
    <row r="79" spans="1:20" x14ac:dyDescent="0.2">
      <c r="A79" s="1" t="s">
        <v>530</v>
      </c>
      <c r="B79" s="1" t="s">
        <v>531</v>
      </c>
      <c r="C79" s="1" t="s">
        <v>532</v>
      </c>
      <c r="D79" s="1" t="s">
        <v>533</v>
      </c>
      <c r="E79" s="1" t="s">
        <v>534</v>
      </c>
      <c r="F79" s="1" t="s">
        <v>535</v>
      </c>
      <c r="G79" s="1" t="s">
        <v>25</v>
      </c>
      <c r="H79">
        <v>16226048990</v>
      </c>
      <c r="I79" s="1" t="s">
        <v>404</v>
      </c>
      <c r="J79" s="1" t="s">
        <v>27</v>
      </c>
      <c r="K79" s="1" t="s">
        <v>131</v>
      </c>
      <c r="L79" s="1" t="s">
        <v>25</v>
      </c>
      <c r="M79" s="1" t="str">
        <f>IF(LEFT(results_context_via_permalink_gpt_5_2025_08_07_with_justification_run1[[#This Row],[LLM_response]], 21)="CONTEXT_ACCESSED: yes","X","")</f>
        <v/>
      </c>
      <c r="N79" s="1" t="s">
        <v>25</v>
      </c>
      <c r="O79" s="1" t="s">
        <v>25</v>
      </c>
      <c r="P79" s="1" t="s">
        <v>25</v>
      </c>
      <c r="Q79" s="1" t="s">
        <v>536</v>
      </c>
      <c r="R79" s="1" t="s">
        <v>131</v>
      </c>
      <c r="S79" s="1" t="str">
        <f>IF(results_context_via_permalink_gpt_5_2025_08_07_with_justification_run1[[#This Row],[they_type]]=results_context_via_permalink_gpt_5_2025_08_07_with_justification_run1[[#This Row],[LLM_annotation]],"X","")</f>
        <v>X</v>
      </c>
      <c r="T79" s="1" t="s">
        <v>25</v>
      </c>
    </row>
    <row r="80" spans="1:20" x14ac:dyDescent="0.2">
      <c r="A80" s="1" t="s">
        <v>537</v>
      </c>
      <c r="B80" s="1" t="s">
        <v>538</v>
      </c>
      <c r="C80" s="1" t="s">
        <v>539</v>
      </c>
      <c r="D80" s="1" t="s">
        <v>540</v>
      </c>
      <c r="E80" s="1" t="s">
        <v>541</v>
      </c>
      <c r="F80" s="1" t="s">
        <v>542</v>
      </c>
      <c r="G80" s="1" t="s">
        <v>25</v>
      </c>
      <c r="H80">
        <v>15698978250</v>
      </c>
      <c r="I80" s="1" t="s">
        <v>450</v>
      </c>
      <c r="J80" s="1" t="s">
        <v>27</v>
      </c>
      <c r="K80" s="1" t="s">
        <v>131</v>
      </c>
      <c r="L80" s="1" t="s">
        <v>25</v>
      </c>
      <c r="M80" s="1" t="str">
        <f>IF(LEFT(results_context_via_permalink_gpt_5_2025_08_07_with_justification_run1[[#This Row],[LLM_response]], 21)="CONTEXT_ACCESSED: yes","X","")</f>
        <v>X</v>
      </c>
      <c r="N80" s="1" t="s">
        <v>25</v>
      </c>
      <c r="O80" s="1" t="s">
        <v>25</v>
      </c>
      <c r="P80" s="1" t="s">
        <v>25</v>
      </c>
      <c r="Q80" s="1" t="s">
        <v>543</v>
      </c>
      <c r="R80" s="1" t="s">
        <v>131</v>
      </c>
      <c r="S80" s="1" t="str">
        <f>IF(results_context_via_permalink_gpt_5_2025_08_07_with_justification_run1[[#This Row],[they_type]]=results_context_via_permalink_gpt_5_2025_08_07_with_justification_run1[[#This Row],[LLM_annotation]],"X","")</f>
        <v>X</v>
      </c>
      <c r="T80" s="1" t="s">
        <v>25</v>
      </c>
    </row>
    <row r="81" spans="1:20" x14ac:dyDescent="0.2">
      <c r="A81" s="1" t="s">
        <v>544</v>
      </c>
      <c r="B81" s="1" t="s">
        <v>545</v>
      </c>
      <c r="C81" s="1" t="s">
        <v>546</v>
      </c>
      <c r="D81" s="1" t="s">
        <v>547</v>
      </c>
      <c r="E81" s="1" t="s">
        <v>548</v>
      </c>
      <c r="F81" s="1" t="s">
        <v>549</v>
      </c>
      <c r="G81" s="1" t="s">
        <v>25</v>
      </c>
      <c r="H81">
        <v>15698980710</v>
      </c>
      <c r="I81" s="1" t="s">
        <v>427</v>
      </c>
      <c r="J81" s="1" t="s">
        <v>27</v>
      </c>
      <c r="K81" s="1" t="s">
        <v>131</v>
      </c>
      <c r="L81" s="1" t="s">
        <v>25</v>
      </c>
      <c r="M81" s="1" t="str">
        <f>IF(LEFT(results_context_via_permalink_gpt_5_2025_08_07_with_justification_run1[[#This Row],[LLM_response]], 21)="CONTEXT_ACCESSED: yes","X","")</f>
        <v/>
      </c>
      <c r="N81" s="1" t="s">
        <v>25</v>
      </c>
      <c r="O81" s="1" t="s">
        <v>25</v>
      </c>
      <c r="P81" s="1" t="s">
        <v>25</v>
      </c>
      <c r="Q81" s="1" t="s">
        <v>550</v>
      </c>
      <c r="R81" s="1" t="s">
        <v>131</v>
      </c>
      <c r="S81" s="1" t="str">
        <f>IF(results_context_via_permalink_gpt_5_2025_08_07_with_justification_run1[[#This Row],[they_type]]=results_context_via_permalink_gpt_5_2025_08_07_with_justification_run1[[#This Row],[LLM_annotation]],"X","")</f>
        <v>X</v>
      </c>
      <c r="T81" s="1" t="s">
        <v>25</v>
      </c>
    </row>
    <row r="82" spans="1:20" x14ac:dyDescent="0.2">
      <c r="A82" s="1" t="s">
        <v>551</v>
      </c>
      <c r="B82" s="1" t="s">
        <v>552</v>
      </c>
      <c r="C82" s="1" t="s">
        <v>553</v>
      </c>
      <c r="D82" s="1" t="s">
        <v>554</v>
      </c>
      <c r="E82" s="1" t="s">
        <v>555</v>
      </c>
      <c r="F82" s="1" t="s">
        <v>556</v>
      </c>
      <c r="G82" s="1" t="s">
        <v>557</v>
      </c>
      <c r="H82">
        <v>16226087710</v>
      </c>
      <c r="I82" s="1" t="s">
        <v>404</v>
      </c>
      <c r="J82" s="1" t="s">
        <v>27</v>
      </c>
      <c r="K82" s="1" t="s">
        <v>131</v>
      </c>
      <c r="L82" s="1" t="s">
        <v>25</v>
      </c>
      <c r="M82" s="1" t="str">
        <f>IF(LEFT(results_context_via_permalink_gpt_5_2025_08_07_with_justification_run1[[#This Row],[LLM_response]], 21)="CONTEXT_ACCESSED: yes","X","")</f>
        <v/>
      </c>
      <c r="N82" s="1" t="s">
        <v>25</v>
      </c>
      <c r="O82" s="1" t="s">
        <v>25</v>
      </c>
      <c r="P82" s="1" t="s">
        <v>25</v>
      </c>
      <c r="Q82" s="1" t="s">
        <v>558</v>
      </c>
      <c r="R82" s="1" t="s">
        <v>131</v>
      </c>
      <c r="S82" s="1" t="str">
        <f>IF(results_context_via_permalink_gpt_5_2025_08_07_with_justification_run1[[#This Row],[they_type]]=results_context_via_permalink_gpt_5_2025_08_07_with_justification_run1[[#This Row],[LLM_annotation]],"X","")</f>
        <v>X</v>
      </c>
      <c r="T82" s="1" t="s">
        <v>25</v>
      </c>
    </row>
    <row r="83" spans="1:20" x14ac:dyDescent="0.2">
      <c r="A83" s="1" t="s">
        <v>559</v>
      </c>
      <c r="B83" s="1" t="s">
        <v>560</v>
      </c>
      <c r="C83" s="1" t="s">
        <v>561</v>
      </c>
      <c r="D83" s="1" t="s">
        <v>562</v>
      </c>
      <c r="E83" s="1" t="s">
        <v>563</v>
      </c>
      <c r="F83" s="1" t="s">
        <v>564</v>
      </c>
      <c r="G83" s="1" t="s">
        <v>25</v>
      </c>
      <c r="H83">
        <v>16226088750</v>
      </c>
      <c r="I83" s="1" t="s">
        <v>450</v>
      </c>
      <c r="J83" s="1" t="s">
        <v>27</v>
      </c>
      <c r="K83" s="1" t="s">
        <v>28</v>
      </c>
      <c r="L83" s="1" t="s">
        <v>25</v>
      </c>
      <c r="M83" s="1" t="str">
        <f>IF(LEFT(results_context_via_permalink_gpt_5_2025_08_07_with_justification_run1[[#This Row],[LLM_response]], 21)="CONTEXT_ACCESSED: yes","X","")</f>
        <v/>
      </c>
      <c r="N83" s="1" t="s">
        <v>25</v>
      </c>
      <c r="O83" s="1" t="s">
        <v>25</v>
      </c>
      <c r="P83" s="1" t="s">
        <v>27</v>
      </c>
      <c r="Q83" s="1" t="s">
        <v>565</v>
      </c>
      <c r="R83" s="1" t="s">
        <v>36</v>
      </c>
      <c r="S83" s="1" t="str">
        <f>IF(results_context_via_permalink_gpt_5_2025_08_07_with_justification_run1[[#This Row],[they_type]]=results_context_via_permalink_gpt_5_2025_08_07_with_justification_run1[[#This Row],[LLM_annotation]],"X","")</f>
        <v/>
      </c>
      <c r="T83" s="1" t="s">
        <v>25</v>
      </c>
    </row>
    <row r="84" spans="1:20" x14ac:dyDescent="0.2">
      <c r="A84" s="1" t="s">
        <v>566</v>
      </c>
      <c r="B84" s="1" t="s">
        <v>567</v>
      </c>
      <c r="C84" s="1" t="s">
        <v>568</v>
      </c>
      <c r="D84" s="1" t="s">
        <v>569</v>
      </c>
      <c r="E84" s="1" t="s">
        <v>570</v>
      </c>
      <c r="F84" s="1" t="s">
        <v>571</v>
      </c>
      <c r="G84" s="1" t="s">
        <v>25</v>
      </c>
      <c r="H84">
        <v>15698983860</v>
      </c>
      <c r="I84" s="1" t="s">
        <v>450</v>
      </c>
      <c r="J84" s="1" t="s">
        <v>27</v>
      </c>
      <c r="K84" s="1" t="s">
        <v>36</v>
      </c>
      <c r="L84" s="1" t="s">
        <v>27</v>
      </c>
      <c r="M84" s="1" t="str">
        <f>IF(LEFT(results_context_via_permalink_gpt_5_2025_08_07_with_justification_run1[[#This Row],[LLM_response]], 21)="CONTEXT_ACCESSED: yes","X","")</f>
        <v/>
      </c>
      <c r="N84" s="1" t="s">
        <v>25</v>
      </c>
      <c r="O84" s="1" t="s">
        <v>25</v>
      </c>
      <c r="P84" s="1" t="s">
        <v>27</v>
      </c>
      <c r="Q84" s="1" t="s">
        <v>572</v>
      </c>
      <c r="R84" s="1" t="s">
        <v>36</v>
      </c>
      <c r="S84" s="1" t="str">
        <f>IF(results_context_via_permalink_gpt_5_2025_08_07_with_justification_run1[[#This Row],[they_type]]=results_context_via_permalink_gpt_5_2025_08_07_with_justification_run1[[#This Row],[LLM_annotation]],"X","")</f>
        <v>X</v>
      </c>
      <c r="T84" s="1" t="s">
        <v>25</v>
      </c>
    </row>
    <row r="85" spans="1:20" x14ac:dyDescent="0.2">
      <c r="A85" s="1" t="s">
        <v>573</v>
      </c>
      <c r="B85" s="1" t="s">
        <v>574</v>
      </c>
      <c r="C85" s="1" t="s">
        <v>575</v>
      </c>
      <c r="D85" s="1" t="s">
        <v>576</v>
      </c>
      <c r="E85" s="1" t="s">
        <v>577</v>
      </c>
      <c r="F85" s="1" t="s">
        <v>578</v>
      </c>
      <c r="G85" s="1" t="s">
        <v>25</v>
      </c>
      <c r="H85">
        <v>16226102190</v>
      </c>
      <c r="I85" s="1" t="s">
        <v>368</v>
      </c>
      <c r="J85" s="1" t="s">
        <v>27</v>
      </c>
      <c r="K85" s="1" t="s">
        <v>36</v>
      </c>
      <c r="L85" s="1" t="s">
        <v>25</v>
      </c>
      <c r="M85" s="1" t="str">
        <f>IF(LEFT(results_context_via_permalink_gpt_5_2025_08_07_with_justification_run1[[#This Row],[LLM_response]], 21)="CONTEXT_ACCESSED: yes","X","")</f>
        <v/>
      </c>
      <c r="N85" s="1" t="s">
        <v>25</v>
      </c>
      <c r="O85" s="1" t="s">
        <v>25</v>
      </c>
      <c r="P85" s="1" t="s">
        <v>25</v>
      </c>
      <c r="Q85" s="1" t="s">
        <v>579</v>
      </c>
      <c r="R85" s="1" t="s">
        <v>36</v>
      </c>
      <c r="S85" s="1" t="str">
        <f>IF(results_context_via_permalink_gpt_5_2025_08_07_with_justification_run1[[#This Row],[they_type]]=results_context_via_permalink_gpt_5_2025_08_07_with_justification_run1[[#This Row],[LLM_annotation]],"X","")</f>
        <v>X</v>
      </c>
      <c r="T85" s="1" t="s">
        <v>25</v>
      </c>
    </row>
    <row r="86" spans="1:20" x14ac:dyDescent="0.2">
      <c r="A86" s="1" t="s">
        <v>580</v>
      </c>
      <c r="B86" s="1" t="s">
        <v>581</v>
      </c>
      <c r="C86" s="1" t="s">
        <v>582</v>
      </c>
      <c r="D86" s="1" t="s">
        <v>583</v>
      </c>
      <c r="E86" s="1" t="s">
        <v>33</v>
      </c>
      <c r="F86" s="1" t="s">
        <v>584</v>
      </c>
      <c r="G86" s="1" t="s">
        <v>25</v>
      </c>
      <c r="H86">
        <v>16226104680</v>
      </c>
      <c r="I86" s="1" t="s">
        <v>450</v>
      </c>
      <c r="J86" s="1" t="s">
        <v>27</v>
      </c>
      <c r="K86" s="1" t="s">
        <v>131</v>
      </c>
      <c r="L86" s="1" t="s">
        <v>27</v>
      </c>
      <c r="M86" s="1" t="str">
        <f>IF(LEFT(results_context_via_permalink_gpt_5_2025_08_07_with_justification_run1[[#This Row],[LLM_response]], 21)="CONTEXT_ACCESSED: yes","X","")</f>
        <v/>
      </c>
      <c r="N86" s="1" t="s">
        <v>25</v>
      </c>
      <c r="O86" s="1" t="s">
        <v>25</v>
      </c>
      <c r="P86" s="1" t="s">
        <v>27</v>
      </c>
      <c r="Q86" s="1" t="s">
        <v>585</v>
      </c>
      <c r="R86" s="1" t="s">
        <v>36</v>
      </c>
      <c r="S86" s="1" t="str">
        <f>IF(results_context_via_permalink_gpt_5_2025_08_07_with_justification_run1[[#This Row],[they_type]]=results_context_via_permalink_gpt_5_2025_08_07_with_justification_run1[[#This Row],[LLM_annotation]],"X","")</f>
        <v/>
      </c>
      <c r="T86" s="1" t="s">
        <v>25</v>
      </c>
    </row>
    <row r="87" spans="1:20" x14ac:dyDescent="0.2">
      <c r="A87" s="1" t="s">
        <v>586</v>
      </c>
      <c r="B87" s="1" t="s">
        <v>437</v>
      </c>
      <c r="C87" s="1" t="s">
        <v>587</v>
      </c>
      <c r="D87" s="1" t="s">
        <v>588</v>
      </c>
      <c r="E87" s="1" t="s">
        <v>589</v>
      </c>
      <c r="F87" s="1" t="s">
        <v>590</v>
      </c>
      <c r="G87" s="1" t="s">
        <v>591</v>
      </c>
      <c r="H87">
        <v>16226135880</v>
      </c>
      <c r="I87" s="1" t="s">
        <v>450</v>
      </c>
      <c r="J87" s="1" t="s">
        <v>27</v>
      </c>
      <c r="K87" s="1" t="s">
        <v>131</v>
      </c>
      <c r="L87" s="1" t="s">
        <v>25</v>
      </c>
      <c r="M87" s="1" t="str">
        <f>IF(LEFT(results_context_via_permalink_gpt_5_2025_08_07_with_justification_run1[[#This Row],[LLM_response]], 21)="CONTEXT_ACCESSED: yes","X","")</f>
        <v/>
      </c>
      <c r="N87" s="1" t="s">
        <v>25</v>
      </c>
      <c r="O87" s="1" t="s">
        <v>25</v>
      </c>
      <c r="P87" s="1" t="s">
        <v>25</v>
      </c>
      <c r="Q87" s="1" t="s">
        <v>592</v>
      </c>
      <c r="R87" s="1" t="s">
        <v>131</v>
      </c>
      <c r="S87" s="1" t="str">
        <f>IF(results_context_via_permalink_gpt_5_2025_08_07_with_justification_run1[[#This Row],[they_type]]=results_context_via_permalink_gpt_5_2025_08_07_with_justification_run1[[#This Row],[LLM_annotation]],"X","")</f>
        <v>X</v>
      </c>
      <c r="T87" s="1" t="s">
        <v>25</v>
      </c>
    </row>
    <row r="88" spans="1:20" x14ac:dyDescent="0.2">
      <c r="A88" s="1" t="s">
        <v>593</v>
      </c>
      <c r="B88" s="1" t="s">
        <v>594</v>
      </c>
      <c r="C88" s="1" t="s">
        <v>595</v>
      </c>
      <c r="D88" s="1" t="s">
        <v>596</v>
      </c>
      <c r="E88" s="1" t="s">
        <v>597</v>
      </c>
      <c r="F88" s="1" t="s">
        <v>598</v>
      </c>
      <c r="G88" s="1" t="s">
        <v>25</v>
      </c>
      <c r="H88">
        <v>16226193530</v>
      </c>
      <c r="I88" s="1" t="s">
        <v>450</v>
      </c>
      <c r="J88" s="1" t="s">
        <v>27</v>
      </c>
      <c r="K88" s="1" t="s">
        <v>131</v>
      </c>
      <c r="L88" s="1" t="s">
        <v>25</v>
      </c>
      <c r="M88" s="1" t="str">
        <f>IF(LEFT(results_context_via_permalink_gpt_5_2025_08_07_with_justification_run1[[#This Row],[LLM_response]], 21)="CONTEXT_ACCESSED: yes","X","")</f>
        <v>X</v>
      </c>
      <c r="N88" s="1" t="s">
        <v>25</v>
      </c>
      <c r="O88" s="1" t="s">
        <v>25</v>
      </c>
      <c r="P88" s="1" t="s">
        <v>27</v>
      </c>
      <c r="Q88" s="1" t="s">
        <v>599</v>
      </c>
      <c r="R88" s="1" t="s">
        <v>131</v>
      </c>
      <c r="S88" s="1" t="str">
        <f>IF(results_context_via_permalink_gpt_5_2025_08_07_with_justification_run1[[#This Row],[they_type]]=results_context_via_permalink_gpt_5_2025_08_07_with_justification_run1[[#This Row],[LLM_annotation]],"X","")</f>
        <v>X</v>
      </c>
      <c r="T88" s="1" t="s">
        <v>25</v>
      </c>
    </row>
    <row r="89" spans="1:20" x14ac:dyDescent="0.2">
      <c r="A89" s="1" t="s">
        <v>600</v>
      </c>
      <c r="B89" s="1" t="s">
        <v>601</v>
      </c>
      <c r="C89" s="1" t="s">
        <v>602</v>
      </c>
      <c r="D89" s="1" t="s">
        <v>603</v>
      </c>
      <c r="E89" s="1" t="s">
        <v>604</v>
      </c>
      <c r="F89" s="1" t="s">
        <v>605</v>
      </c>
      <c r="G89" s="1" t="s">
        <v>25</v>
      </c>
      <c r="H89">
        <v>15698995040</v>
      </c>
      <c r="I89" s="1" t="s">
        <v>606</v>
      </c>
      <c r="J89" s="1" t="s">
        <v>27</v>
      </c>
      <c r="K89" s="1" t="s">
        <v>28</v>
      </c>
      <c r="L89" s="1" t="s">
        <v>25</v>
      </c>
      <c r="M89" s="1" t="str">
        <f>IF(LEFT(results_context_via_permalink_gpt_5_2025_08_07_with_justification_run1[[#This Row],[LLM_response]], 21)="CONTEXT_ACCESSED: yes","X","")</f>
        <v/>
      </c>
      <c r="N89" s="1" t="s">
        <v>25</v>
      </c>
      <c r="O89" s="1" t="s">
        <v>25</v>
      </c>
      <c r="P89" s="1" t="s">
        <v>25</v>
      </c>
      <c r="Q89" s="1" t="s">
        <v>607</v>
      </c>
      <c r="R89" s="1" t="s">
        <v>28</v>
      </c>
      <c r="S89" s="1" t="str">
        <f>IF(results_context_via_permalink_gpt_5_2025_08_07_with_justification_run1[[#This Row],[they_type]]=results_context_via_permalink_gpt_5_2025_08_07_with_justification_run1[[#This Row],[LLM_annotation]],"X","")</f>
        <v>X</v>
      </c>
      <c r="T89" s="1" t="s">
        <v>25</v>
      </c>
    </row>
    <row r="90" spans="1:20" x14ac:dyDescent="0.2">
      <c r="A90" s="1" t="s">
        <v>608</v>
      </c>
      <c r="B90" s="1" t="s">
        <v>609</v>
      </c>
      <c r="C90" s="1" t="s">
        <v>610</v>
      </c>
      <c r="D90" s="1" t="s">
        <v>611</v>
      </c>
      <c r="E90" s="1" t="s">
        <v>612</v>
      </c>
      <c r="F90" s="1" t="s">
        <v>613</v>
      </c>
      <c r="G90" s="1" t="s">
        <v>614</v>
      </c>
      <c r="H90">
        <v>16226247230</v>
      </c>
      <c r="I90" s="1" t="s">
        <v>615</v>
      </c>
      <c r="J90" s="1" t="s">
        <v>27</v>
      </c>
      <c r="K90" s="1" t="s">
        <v>131</v>
      </c>
      <c r="L90" s="1" t="s">
        <v>25</v>
      </c>
      <c r="M90" s="1" t="str">
        <f>IF(LEFT(results_context_via_permalink_gpt_5_2025_08_07_with_justification_run1[[#This Row],[LLM_response]], 21)="CONTEXT_ACCESSED: yes","X","")</f>
        <v/>
      </c>
      <c r="N90" s="1" t="s">
        <v>25</v>
      </c>
      <c r="O90" s="1" t="s">
        <v>25</v>
      </c>
      <c r="P90" s="1" t="s">
        <v>25</v>
      </c>
      <c r="Q90" s="1" t="s">
        <v>616</v>
      </c>
      <c r="R90" s="1" t="s">
        <v>131</v>
      </c>
      <c r="S90" s="1" t="str">
        <f>IF(results_context_via_permalink_gpt_5_2025_08_07_with_justification_run1[[#This Row],[they_type]]=results_context_via_permalink_gpt_5_2025_08_07_with_justification_run1[[#This Row],[LLM_annotation]],"X","")</f>
        <v>X</v>
      </c>
      <c r="T90" s="1" t="s">
        <v>25</v>
      </c>
    </row>
    <row r="91" spans="1:20" x14ac:dyDescent="0.2">
      <c r="A91" s="1" t="s">
        <v>617</v>
      </c>
      <c r="B91" s="1" t="s">
        <v>618</v>
      </c>
      <c r="C91" s="1" t="s">
        <v>619</v>
      </c>
      <c r="D91" s="1" t="s">
        <v>620</v>
      </c>
      <c r="E91" s="1" t="s">
        <v>621</v>
      </c>
      <c r="F91" s="1" t="s">
        <v>622</v>
      </c>
      <c r="G91" s="1" t="s">
        <v>25</v>
      </c>
      <c r="H91">
        <v>15698997380</v>
      </c>
      <c r="I91" s="1" t="s">
        <v>404</v>
      </c>
      <c r="J91" s="1" t="s">
        <v>27</v>
      </c>
      <c r="K91" s="1" t="s">
        <v>36</v>
      </c>
      <c r="L91" s="1" t="s">
        <v>25</v>
      </c>
      <c r="M91" s="1" t="str">
        <f>IF(LEFT(results_context_via_permalink_gpt_5_2025_08_07_with_justification_run1[[#This Row],[LLM_response]], 21)="CONTEXT_ACCESSED: yes","X","")</f>
        <v/>
      </c>
      <c r="N91" s="1" t="s">
        <v>25</v>
      </c>
      <c r="O91" s="1" t="s">
        <v>27</v>
      </c>
      <c r="P91" s="1" t="s">
        <v>25</v>
      </c>
      <c r="Q91" s="1" t="s">
        <v>623</v>
      </c>
      <c r="R91" s="1" t="s">
        <v>36</v>
      </c>
      <c r="S91" s="1" t="str">
        <f>IF(results_context_via_permalink_gpt_5_2025_08_07_with_justification_run1[[#This Row],[they_type]]=results_context_via_permalink_gpt_5_2025_08_07_with_justification_run1[[#This Row],[LLM_annotation]],"X","")</f>
        <v>X</v>
      </c>
      <c r="T91" s="1" t="s">
        <v>25</v>
      </c>
    </row>
    <row r="92" spans="1:20" x14ac:dyDescent="0.2">
      <c r="A92" s="1" t="s">
        <v>624</v>
      </c>
      <c r="B92" s="1" t="s">
        <v>625</v>
      </c>
      <c r="C92" s="1" t="s">
        <v>626</v>
      </c>
      <c r="D92" s="1" t="s">
        <v>627</v>
      </c>
      <c r="E92" s="1" t="s">
        <v>628</v>
      </c>
      <c r="F92" s="1" t="s">
        <v>629</v>
      </c>
      <c r="G92" s="1" t="s">
        <v>25</v>
      </c>
      <c r="H92">
        <v>16225170590</v>
      </c>
      <c r="I92" s="1" t="s">
        <v>450</v>
      </c>
      <c r="J92" s="1" t="s">
        <v>27</v>
      </c>
      <c r="K92" s="1" t="s">
        <v>131</v>
      </c>
      <c r="L92" s="1" t="s">
        <v>25</v>
      </c>
      <c r="M92" s="1" t="str">
        <f>IF(LEFT(results_context_via_permalink_gpt_5_2025_08_07_with_justification_run1[[#This Row],[LLM_response]], 21)="CONTEXT_ACCESSED: yes","X","")</f>
        <v/>
      </c>
      <c r="N92" s="1" t="s">
        <v>25</v>
      </c>
      <c r="O92" s="1" t="s">
        <v>25</v>
      </c>
      <c r="P92" s="1" t="s">
        <v>25</v>
      </c>
      <c r="Q92" s="1" t="s">
        <v>630</v>
      </c>
      <c r="R92" s="1" t="s">
        <v>131</v>
      </c>
      <c r="S92" s="1" t="str">
        <f>IF(results_context_via_permalink_gpt_5_2025_08_07_with_justification_run1[[#This Row],[they_type]]=results_context_via_permalink_gpt_5_2025_08_07_with_justification_run1[[#This Row],[LLM_annotation]],"X","")</f>
        <v>X</v>
      </c>
      <c r="T92" s="1" t="s">
        <v>25</v>
      </c>
    </row>
    <row r="93" spans="1:20" x14ac:dyDescent="0.2">
      <c r="A93" s="1" t="s">
        <v>631</v>
      </c>
      <c r="B93" s="1" t="s">
        <v>632</v>
      </c>
      <c r="C93" s="1" t="s">
        <v>633</v>
      </c>
      <c r="D93" s="1" t="s">
        <v>634</v>
      </c>
      <c r="E93" s="1" t="s">
        <v>635</v>
      </c>
      <c r="F93" s="1" t="s">
        <v>636</v>
      </c>
      <c r="G93" s="1" t="s">
        <v>25</v>
      </c>
      <c r="H93">
        <v>15698999300</v>
      </c>
      <c r="I93" s="1" t="s">
        <v>368</v>
      </c>
      <c r="J93" s="1" t="s">
        <v>27</v>
      </c>
      <c r="K93" s="1" t="s">
        <v>131</v>
      </c>
      <c r="L93" s="1" t="s">
        <v>25</v>
      </c>
      <c r="M93" s="1" t="str">
        <f>IF(LEFT(results_context_via_permalink_gpt_5_2025_08_07_with_justification_run1[[#This Row],[LLM_response]], 21)="CONTEXT_ACCESSED: yes","X","")</f>
        <v/>
      </c>
      <c r="N93" s="1" t="s">
        <v>25</v>
      </c>
      <c r="O93" s="1" t="s">
        <v>25</v>
      </c>
      <c r="P93" s="1" t="s">
        <v>25</v>
      </c>
      <c r="Q93" s="1" t="s">
        <v>637</v>
      </c>
      <c r="R93" s="1" t="s">
        <v>131</v>
      </c>
      <c r="S93" s="1" t="str">
        <f>IF(results_context_via_permalink_gpt_5_2025_08_07_with_justification_run1[[#This Row],[they_type]]=results_context_via_permalink_gpt_5_2025_08_07_with_justification_run1[[#This Row],[LLM_annotation]],"X","")</f>
        <v>X</v>
      </c>
      <c r="T93" s="1" t="s">
        <v>25</v>
      </c>
    </row>
    <row r="94" spans="1:20" x14ac:dyDescent="0.2">
      <c r="A94" s="1" t="s">
        <v>638</v>
      </c>
      <c r="B94" s="1" t="s">
        <v>639</v>
      </c>
      <c r="C94" s="1" t="s">
        <v>640</v>
      </c>
      <c r="D94" s="1" t="s">
        <v>641</v>
      </c>
      <c r="E94" s="1" t="s">
        <v>642</v>
      </c>
      <c r="F94" s="1" t="s">
        <v>643</v>
      </c>
      <c r="G94" s="1" t="s">
        <v>25</v>
      </c>
      <c r="H94">
        <v>16226338290</v>
      </c>
      <c r="I94" s="1" t="s">
        <v>404</v>
      </c>
      <c r="J94" s="1" t="s">
        <v>27</v>
      </c>
      <c r="K94" s="1" t="s">
        <v>131</v>
      </c>
      <c r="L94" s="1" t="s">
        <v>25</v>
      </c>
      <c r="M94" s="1" t="str">
        <f>IF(LEFT(results_context_via_permalink_gpt_5_2025_08_07_with_justification_run1[[#This Row],[LLM_response]], 21)="CONTEXT_ACCESSED: yes","X","")</f>
        <v/>
      </c>
      <c r="N94" s="1" t="s">
        <v>25</v>
      </c>
      <c r="O94" s="1" t="s">
        <v>25</v>
      </c>
      <c r="P94" s="1" t="s">
        <v>25</v>
      </c>
      <c r="Q94" s="1" t="s">
        <v>644</v>
      </c>
      <c r="R94" s="1" t="s">
        <v>131</v>
      </c>
      <c r="S94" s="1" t="str">
        <f>IF(results_context_via_permalink_gpt_5_2025_08_07_with_justification_run1[[#This Row],[they_type]]=results_context_via_permalink_gpt_5_2025_08_07_with_justification_run1[[#This Row],[LLM_annotation]],"X","")</f>
        <v>X</v>
      </c>
      <c r="T94" s="1" t="s">
        <v>25</v>
      </c>
    </row>
    <row r="95" spans="1:20" x14ac:dyDescent="0.2">
      <c r="A95" s="1" t="s">
        <v>645</v>
      </c>
      <c r="B95" s="1" t="s">
        <v>30</v>
      </c>
      <c r="C95" s="1" t="s">
        <v>646</v>
      </c>
      <c r="D95" s="1" t="s">
        <v>647</v>
      </c>
      <c r="E95" s="1" t="s">
        <v>648</v>
      </c>
      <c r="F95" s="1" t="s">
        <v>649</v>
      </c>
      <c r="G95" s="1" t="s">
        <v>650</v>
      </c>
      <c r="H95">
        <v>15699008900</v>
      </c>
      <c r="I95" s="1" t="s">
        <v>450</v>
      </c>
      <c r="J95" s="1" t="s">
        <v>27</v>
      </c>
      <c r="K95" s="1" t="s">
        <v>131</v>
      </c>
      <c r="L95" s="1" t="s">
        <v>25</v>
      </c>
      <c r="M95" s="1" t="str">
        <f>IF(LEFT(results_context_via_permalink_gpt_5_2025_08_07_with_justification_run1[[#This Row],[LLM_response]], 21)="CONTEXT_ACCESSED: yes","X","")</f>
        <v/>
      </c>
      <c r="N95" s="1" t="s">
        <v>25</v>
      </c>
      <c r="O95" s="1" t="s">
        <v>25</v>
      </c>
      <c r="P95" s="1" t="s">
        <v>27</v>
      </c>
      <c r="Q95" s="1" t="s">
        <v>651</v>
      </c>
      <c r="R95" s="1" t="s">
        <v>131</v>
      </c>
      <c r="S95" s="1" t="str">
        <f>IF(results_context_via_permalink_gpt_5_2025_08_07_with_justification_run1[[#This Row],[they_type]]=results_context_via_permalink_gpt_5_2025_08_07_with_justification_run1[[#This Row],[LLM_annotation]],"X","")</f>
        <v>X</v>
      </c>
      <c r="T95" s="1" t="s">
        <v>25</v>
      </c>
    </row>
    <row r="96" spans="1:20" x14ac:dyDescent="0.2">
      <c r="A96" s="1" t="s">
        <v>652</v>
      </c>
      <c r="B96" s="1" t="s">
        <v>653</v>
      </c>
      <c r="C96" s="1" t="s">
        <v>654</v>
      </c>
      <c r="D96" s="1" t="s">
        <v>655</v>
      </c>
      <c r="E96" s="1" t="s">
        <v>656</v>
      </c>
      <c r="F96" s="1" t="s">
        <v>657</v>
      </c>
      <c r="G96" s="1" t="s">
        <v>25</v>
      </c>
      <c r="H96">
        <v>16225182270</v>
      </c>
      <c r="I96" s="1" t="s">
        <v>450</v>
      </c>
      <c r="J96" s="1" t="s">
        <v>27</v>
      </c>
      <c r="K96" s="1" t="s">
        <v>28</v>
      </c>
      <c r="L96" s="1" t="s">
        <v>25</v>
      </c>
      <c r="M96" s="1" t="str">
        <f>IF(LEFT(results_context_via_permalink_gpt_5_2025_08_07_with_justification_run1[[#This Row],[LLM_response]], 21)="CONTEXT_ACCESSED: yes","X","")</f>
        <v>X</v>
      </c>
      <c r="N96" s="1" t="s">
        <v>25</v>
      </c>
      <c r="O96" s="1" t="s">
        <v>25</v>
      </c>
      <c r="P96" s="1" t="s">
        <v>25</v>
      </c>
      <c r="Q96" s="1" t="s">
        <v>658</v>
      </c>
      <c r="R96" s="1" t="s">
        <v>28</v>
      </c>
      <c r="S96" s="1" t="str">
        <f>IF(results_context_via_permalink_gpt_5_2025_08_07_with_justification_run1[[#This Row],[they_type]]=results_context_via_permalink_gpt_5_2025_08_07_with_justification_run1[[#This Row],[LLM_annotation]],"X","")</f>
        <v>X</v>
      </c>
      <c r="T96" s="1" t="s">
        <v>25</v>
      </c>
    </row>
    <row r="97" spans="1:20" x14ac:dyDescent="0.2">
      <c r="A97" s="1" t="s">
        <v>659</v>
      </c>
      <c r="B97" s="1" t="s">
        <v>660</v>
      </c>
      <c r="C97" s="1" t="s">
        <v>661</v>
      </c>
      <c r="D97" s="1" t="s">
        <v>662</v>
      </c>
      <c r="E97" s="1" t="s">
        <v>663</v>
      </c>
      <c r="F97" s="1" t="s">
        <v>664</v>
      </c>
      <c r="G97" s="1" t="s">
        <v>25</v>
      </c>
      <c r="H97">
        <v>16226412810</v>
      </c>
      <c r="I97" s="1" t="s">
        <v>450</v>
      </c>
      <c r="J97" s="1" t="s">
        <v>27</v>
      </c>
      <c r="K97" s="1" t="s">
        <v>131</v>
      </c>
      <c r="L97" s="1" t="s">
        <v>25</v>
      </c>
      <c r="M97" s="1" t="str">
        <f>IF(LEFT(results_context_via_permalink_gpt_5_2025_08_07_with_justification_run1[[#This Row],[LLM_response]], 21)="CONTEXT_ACCESSED: yes","X","")</f>
        <v/>
      </c>
      <c r="N97" s="1" t="s">
        <v>25</v>
      </c>
      <c r="O97" s="1" t="s">
        <v>25</v>
      </c>
      <c r="P97" s="1" t="s">
        <v>25</v>
      </c>
      <c r="Q97" s="1" t="s">
        <v>665</v>
      </c>
      <c r="R97" s="1" t="s">
        <v>131</v>
      </c>
      <c r="S97" s="1" t="str">
        <f>IF(results_context_via_permalink_gpt_5_2025_08_07_with_justification_run1[[#This Row],[they_type]]=results_context_via_permalink_gpt_5_2025_08_07_with_justification_run1[[#This Row],[LLM_annotation]],"X","")</f>
        <v>X</v>
      </c>
      <c r="T97" s="1" t="s">
        <v>25</v>
      </c>
    </row>
    <row r="98" spans="1:20" x14ac:dyDescent="0.2">
      <c r="A98" s="1" t="s">
        <v>666</v>
      </c>
      <c r="B98" s="1" t="s">
        <v>667</v>
      </c>
      <c r="C98" s="1" t="s">
        <v>668</v>
      </c>
      <c r="D98" s="1" t="s">
        <v>669</v>
      </c>
      <c r="E98" s="1" t="s">
        <v>670</v>
      </c>
      <c r="F98" s="1" t="s">
        <v>671</v>
      </c>
      <c r="G98" s="1" t="s">
        <v>25</v>
      </c>
      <c r="H98">
        <v>16226424690</v>
      </c>
      <c r="I98" s="1" t="s">
        <v>450</v>
      </c>
      <c r="J98" s="1" t="s">
        <v>27</v>
      </c>
      <c r="K98" s="1" t="s">
        <v>28</v>
      </c>
      <c r="L98" s="1" t="s">
        <v>25</v>
      </c>
      <c r="M98" s="1" t="str">
        <f>IF(LEFT(results_context_via_permalink_gpt_5_2025_08_07_with_justification_run1[[#This Row],[LLM_response]], 21)="CONTEXT_ACCESSED: yes","X","")</f>
        <v/>
      </c>
      <c r="N98" s="1" t="s">
        <v>25</v>
      </c>
      <c r="O98" s="1" t="s">
        <v>25</v>
      </c>
      <c r="P98" s="1" t="s">
        <v>25</v>
      </c>
      <c r="Q98" s="1" t="s">
        <v>672</v>
      </c>
      <c r="R98" s="1" t="s">
        <v>131</v>
      </c>
      <c r="S98" s="1" t="str">
        <f>IF(results_context_via_permalink_gpt_5_2025_08_07_with_justification_run1[[#This Row],[they_type]]=results_context_via_permalink_gpt_5_2025_08_07_with_justification_run1[[#This Row],[LLM_annotation]],"X","")</f>
        <v/>
      </c>
      <c r="T98" s="1" t="s">
        <v>25</v>
      </c>
    </row>
    <row r="99" spans="1:20" x14ac:dyDescent="0.2">
      <c r="A99" s="1" t="s">
        <v>673</v>
      </c>
      <c r="B99" s="1" t="s">
        <v>674</v>
      </c>
      <c r="C99" s="1" t="s">
        <v>675</v>
      </c>
      <c r="D99" s="1" t="s">
        <v>676</v>
      </c>
      <c r="E99" s="1" t="s">
        <v>677</v>
      </c>
      <c r="F99" s="1" t="s">
        <v>678</v>
      </c>
      <c r="G99" s="1" t="s">
        <v>679</v>
      </c>
      <c r="H99">
        <v>15699020780</v>
      </c>
      <c r="I99" s="1" t="s">
        <v>391</v>
      </c>
      <c r="J99" s="1" t="s">
        <v>27</v>
      </c>
      <c r="K99" s="1" t="s">
        <v>36</v>
      </c>
      <c r="L99" s="1" t="s">
        <v>25</v>
      </c>
      <c r="M99" s="1" t="str">
        <f>IF(LEFT(results_context_via_permalink_gpt_5_2025_08_07_with_justification_run1[[#This Row],[LLM_response]], 21)="CONTEXT_ACCESSED: yes","X","")</f>
        <v>X</v>
      </c>
      <c r="N99" s="1" t="s">
        <v>25</v>
      </c>
      <c r="O99" s="1" t="s">
        <v>25</v>
      </c>
      <c r="P99" s="1" t="s">
        <v>25</v>
      </c>
      <c r="Q99" s="1" t="s">
        <v>680</v>
      </c>
      <c r="R99" s="1" t="s">
        <v>36</v>
      </c>
      <c r="S99" s="1" t="str">
        <f>IF(results_context_via_permalink_gpt_5_2025_08_07_with_justification_run1[[#This Row],[they_type]]=results_context_via_permalink_gpt_5_2025_08_07_with_justification_run1[[#This Row],[LLM_annotation]],"X","")</f>
        <v>X</v>
      </c>
      <c r="T99" s="1" t="s">
        <v>25</v>
      </c>
    </row>
    <row r="100" spans="1:20" x14ac:dyDescent="0.2">
      <c r="A100" s="1" t="s">
        <v>681</v>
      </c>
      <c r="B100" s="1" t="s">
        <v>682</v>
      </c>
      <c r="C100" s="1" t="s">
        <v>683</v>
      </c>
      <c r="D100" s="1" t="s">
        <v>684</v>
      </c>
      <c r="E100" s="1" t="s">
        <v>685</v>
      </c>
      <c r="F100" s="1" t="s">
        <v>686</v>
      </c>
      <c r="G100" s="1" t="s">
        <v>25</v>
      </c>
      <c r="H100">
        <v>16226446320</v>
      </c>
      <c r="I100" s="1" t="s">
        <v>450</v>
      </c>
      <c r="J100" s="1" t="s">
        <v>27</v>
      </c>
      <c r="K100" s="1" t="s">
        <v>36</v>
      </c>
      <c r="L100" s="1" t="s">
        <v>25</v>
      </c>
      <c r="M100" s="1" t="str">
        <f>IF(LEFT(results_context_via_permalink_gpt_5_2025_08_07_with_justification_run1[[#This Row],[LLM_response]], 21)="CONTEXT_ACCESSED: yes","X","")</f>
        <v/>
      </c>
      <c r="N100" s="1" t="s">
        <v>25</v>
      </c>
      <c r="O100" s="1" t="s">
        <v>25</v>
      </c>
      <c r="P100" s="1" t="s">
        <v>25</v>
      </c>
      <c r="Q100" s="1" t="s">
        <v>687</v>
      </c>
      <c r="R100" s="1" t="s">
        <v>36</v>
      </c>
      <c r="S100" s="1" t="str">
        <f>IF(results_context_via_permalink_gpt_5_2025_08_07_with_justification_run1[[#This Row],[they_type]]=results_context_via_permalink_gpt_5_2025_08_07_with_justification_run1[[#This Row],[LLM_annotation]],"X","")</f>
        <v>X</v>
      </c>
      <c r="T100" s="1" t="s">
        <v>25</v>
      </c>
    </row>
    <row r="101" spans="1:20" x14ac:dyDescent="0.2">
      <c r="A101" s="1" t="s">
        <v>688</v>
      </c>
      <c r="B101" s="1" t="s">
        <v>689</v>
      </c>
      <c r="C101" s="1" t="s">
        <v>690</v>
      </c>
      <c r="D101" s="1" t="s">
        <v>691</v>
      </c>
      <c r="E101" s="1" t="s">
        <v>692</v>
      </c>
      <c r="F101" s="1" t="s">
        <v>693</v>
      </c>
      <c r="G101" s="1" t="s">
        <v>25</v>
      </c>
      <c r="H101">
        <v>16226512660</v>
      </c>
      <c r="I101" s="1" t="s">
        <v>694</v>
      </c>
      <c r="J101" s="1" t="s">
        <v>27</v>
      </c>
      <c r="K101" s="1" t="s">
        <v>131</v>
      </c>
      <c r="L101" s="1" t="s">
        <v>25</v>
      </c>
      <c r="M101" s="1" t="str">
        <f>IF(LEFT(results_context_via_permalink_gpt_5_2025_08_07_with_justification_run1[[#This Row],[LLM_response]], 21)="CONTEXT_ACCESSED: yes","X","")</f>
        <v/>
      </c>
      <c r="N101" s="1" t="s">
        <v>25</v>
      </c>
      <c r="O101" s="1" t="s">
        <v>25</v>
      </c>
      <c r="P101" s="1" t="s">
        <v>25</v>
      </c>
      <c r="Q101" s="1" t="s">
        <v>695</v>
      </c>
      <c r="R101" s="1" t="s">
        <v>131</v>
      </c>
      <c r="S101" s="1" t="str">
        <f>IF(results_context_via_permalink_gpt_5_2025_08_07_with_justification_run1[[#This Row],[they_type]]=results_context_via_permalink_gpt_5_2025_08_07_with_justification_run1[[#This Row],[LLM_annotation]],"X","")</f>
        <v>X</v>
      </c>
      <c r="T101" s="1" t="s">
        <v>25</v>
      </c>
    </row>
    <row r="102" spans="1:20" x14ac:dyDescent="0.2">
      <c r="A102" s="1" t="s">
        <v>696</v>
      </c>
      <c r="B102" s="1" t="s">
        <v>697</v>
      </c>
      <c r="C102" s="1" t="s">
        <v>698</v>
      </c>
      <c r="D102" s="1" t="s">
        <v>699</v>
      </c>
      <c r="E102" s="1" t="s">
        <v>700</v>
      </c>
      <c r="F102" s="1" t="s">
        <v>701</v>
      </c>
      <c r="G102" s="1" t="s">
        <v>25</v>
      </c>
      <c r="H102">
        <v>16226530630</v>
      </c>
      <c r="I102" s="1" t="s">
        <v>368</v>
      </c>
      <c r="J102" s="1" t="s">
        <v>27</v>
      </c>
      <c r="K102" s="1" t="s">
        <v>131</v>
      </c>
      <c r="L102" s="1" t="s">
        <v>25</v>
      </c>
      <c r="M102" s="1" t="str">
        <f>IF(LEFT(results_context_via_permalink_gpt_5_2025_08_07_with_justification_run1[[#This Row],[LLM_response]], 21)="CONTEXT_ACCESSED: yes","X","")</f>
        <v/>
      </c>
      <c r="N102" s="1" t="s">
        <v>25</v>
      </c>
      <c r="O102" s="1" t="s">
        <v>25</v>
      </c>
      <c r="P102" s="1" t="s">
        <v>25</v>
      </c>
      <c r="Q102" s="1" t="s">
        <v>702</v>
      </c>
      <c r="R102" s="1" t="s">
        <v>131</v>
      </c>
      <c r="S102" s="1" t="str">
        <f>IF(results_context_via_permalink_gpt_5_2025_08_07_with_justification_run1[[#This Row],[they_type]]=results_context_via_permalink_gpt_5_2025_08_07_with_justification_run1[[#This Row],[LLM_annotation]],"X","")</f>
        <v>X</v>
      </c>
      <c r="T102" s="1" t="s">
        <v>25</v>
      </c>
    </row>
    <row r="103" spans="1:20" x14ac:dyDescent="0.2">
      <c r="A103" s="1" t="s">
        <v>703</v>
      </c>
      <c r="B103" s="1" t="s">
        <v>704</v>
      </c>
      <c r="C103" s="1" t="s">
        <v>705</v>
      </c>
      <c r="D103" s="1" t="s">
        <v>706</v>
      </c>
      <c r="E103" s="1" t="s">
        <v>707</v>
      </c>
      <c r="F103" s="1" t="s">
        <v>708</v>
      </c>
      <c r="G103" s="1" t="s">
        <v>709</v>
      </c>
      <c r="H103">
        <v>15699046530</v>
      </c>
      <c r="I103" s="1" t="s">
        <v>368</v>
      </c>
      <c r="J103" s="1" t="s">
        <v>27</v>
      </c>
      <c r="K103" s="1" t="s">
        <v>131</v>
      </c>
      <c r="L103" s="1" t="s">
        <v>27</v>
      </c>
      <c r="M103" s="1" t="str">
        <f>IF(LEFT(results_context_via_permalink_gpt_5_2025_08_07_with_justification_run1[[#This Row],[LLM_response]], 21)="CONTEXT_ACCESSED: yes","X","")</f>
        <v/>
      </c>
      <c r="N103" s="1" t="s">
        <v>25</v>
      </c>
      <c r="O103" s="1" t="s">
        <v>25</v>
      </c>
      <c r="P103" s="1" t="s">
        <v>27</v>
      </c>
      <c r="Q103" s="1" t="s">
        <v>710</v>
      </c>
      <c r="R103" s="1" t="s">
        <v>131</v>
      </c>
      <c r="S103" s="1" t="str">
        <f>IF(results_context_via_permalink_gpt_5_2025_08_07_with_justification_run1[[#This Row],[they_type]]=results_context_via_permalink_gpt_5_2025_08_07_with_justification_run1[[#This Row],[LLM_annotation]],"X","")</f>
        <v>X</v>
      </c>
      <c r="T103" s="1" t="s">
        <v>25</v>
      </c>
    </row>
    <row r="104" spans="1:20" x14ac:dyDescent="0.2">
      <c r="A104" s="1" t="s">
        <v>711</v>
      </c>
      <c r="B104" s="1" t="s">
        <v>712</v>
      </c>
      <c r="C104" s="1" t="s">
        <v>713</v>
      </c>
      <c r="D104" s="1" t="s">
        <v>714</v>
      </c>
      <c r="E104" s="1" t="s">
        <v>715</v>
      </c>
      <c r="F104" s="1" t="s">
        <v>716</v>
      </c>
      <c r="G104" s="1" t="s">
        <v>25</v>
      </c>
      <c r="H104">
        <v>15699048940</v>
      </c>
      <c r="I104" s="1" t="s">
        <v>391</v>
      </c>
      <c r="J104" s="1" t="s">
        <v>27</v>
      </c>
      <c r="K104" s="1" t="s">
        <v>131</v>
      </c>
      <c r="L104" s="1" t="s">
        <v>25</v>
      </c>
      <c r="M104" s="1" t="str">
        <f>IF(LEFT(results_context_via_permalink_gpt_5_2025_08_07_with_justification_run1[[#This Row],[LLM_response]], 21)="CONTEXT_ACCESSED: yes","X","")</f>
        <v/>
      </c>
      <c r="N104" s="1" t="s">
        <v>25</v>
      </c>
      <c r="O104" s="1" t="s">
        <v>25</v>
      </c>
      <c r="P104" s="1" t="s">
        <v>25</v>
      </c>
      <c r="Q104" s="1" t="s">
        <v>717</v>
      </c>
      <c r="R104" s="1" t="s">
        <v>131</v>
      </c>
      <c r="S104" s="1" t="str">
        <f>IF(results_context_via_permalink_gpt_5_2025_08_07_with_justification_run1[[#This Row],[they_type]]=results_context_via_permalink_gpt_5_2025_08_07_with_justification_run1[[#This Row],[LLM_annotation]],"X","")</f>
        <v>X</v>
      </c>
      <c r="T104" s="1" t="s">
        <v>25</v>
      </c>
    </row>
    <row r="105" spans="1:20" x14ac:dyDescent="0.2">
      <c r="A105" s="1" t="s">
        <v>718</v>
      </c>
      <c r="B105" s="1" t="s">
        <v>719</v>
      </c>
      <c r="C105" s="1" t="s">
        <v>720</v>
      </c>
      <c r="D105" s="1" t="s">
        <v>721</v>
      </c>
      <c r="E105" s="1" t="s">
        <v>722</v>
      </c>
      <c r="F105" s="1" t="s">
        <v>723</v>
      </c>
      <c r="G105" s="1" t="s">
        <v>25</v>
      </c>
      <c r="H105">
        <v>16226557360</v>
      </c>
      <c r="I105" s="1" t="s">
        <v>450</v>
      </c>
      <c r="J105" s="1" t="s">
        <v>27</v>
      </c>
      <c r="K105" s="1" t="s">
        <v>28</v>
      </c>
      <c r="L105" s="1" t="s">
        <v>27</v>
      </c>
      <c r="M105" s="1" t="str">
        <f>IF(LEFT(results_context_via_permalink_gpt_5_2025_08_07_with_justification_run1[[#This Row],[LLM_response]], 21)="CONTEXT_ACCESSED: yes","X","")</f>
        <v>X</v>
      </c>
      <c r="N105" s="1" t="s">
        <v>25</v>
      </c>
      <c r="O105" s="1" t="s">
        <v>25</v>
      </c>
      <c r="P105" s="1" t="s">
        <v>25</v>
      </c>
      <c r="Q105" s="1" t="s">
        <v>724</v>
      </c>
      <c r="R105" s="1" t="s">
        <v>28</v>
      </c>
      <c r="S105" s="1" t="str">
        <f>IF(results_context_via_permalink_gpt_5_2025_08_07_with_justification_run1[[#This Row],[they_type]]=results_context_via_permalink_gpt_5_2025_08_07_with_justification_run1[[#This Row],[LLM_annotation]],"X","")</f>
        <v>X</v>
      </c>
      <c r="T105" s="1" t="s">
        <v>25</v>
      </c>
    </row>
    <row r="106" spans="1:20" x14ac:dyDescent="0.2">
      <c r="A106" s="1" t="s">
        <v>725</v>
      </c>
      <c r="B106" s="1" t="s">
        <v>139</v>
      </c>
      <c r="C106" s="1" t="s">
        <v>726</v>
      </c>
      <c r="D106" s="1" t="s">
        <v>727</v>
      </c>
      <c r="E106" s="1" t="s">
        <v>728</v>
      </c>
      <c r="F106" s="1" t="s">
        <v>729</v>
      </c>
      <c r="G106" s="1" t="s">
        <v>730</v>
      </c>
      <c r="H106">
        <v>15699058990</v>
      </c>
      <c r="I106" s="1" t="s">
        <v>450</v>
      </c>
      <c r="J106" s="1" t="s">
        <v>27</v>
      </c>
      <c r="K106" s="1" t="s">
        <v>131</v>
      </c>
      <c r="L106" s="1" t="s">
        <v>25</v>
      </c>
      <c r="M106" s="1" t="str">
        <f>IF(LEFT(results_context_via_permalink_gpt_5_2025_08_07_with_justification_run1[[#This Row],[LLM_response]], 21)="CONTEXT_ACCESSED: yes","X","")</f>
        <v/>
      </c>
      <c r="N106" s="1" t="s">
        <v>25</v>
      </c>
      <c r="O106" s="1" t="s">
        <v>25</v>
      </c>
      <c r="P106" s="1" t="s">
        <v>25</v>
      </c>
      <c r="Q106" s="1" t="s">
        <v>731</v>
      </c>
      <c r="R106" s="1" t="s">
        <v>131</v>
      </c>
      <c r="S106" s="1" t="str">
        <f>IF(results_context_via_permalink_gpt_5_2025_08_07_with_justification_run1[[#This Row],[they_type]]=results_context_via_permalink_gpt_5_2025_08_07_with_justification_run1[[#This Row],[LLM_annotation]],"X","")</f>
        <v>X</v>
      </c>
      <c r="T106" s="1" t="s">
        <v>25</v>
      </c>
    </row>
    <row r="107" spans="1:20" x14ac:dyDescent="0.2">
      <c r="A107" s="1" t="s">
        <v>732</v>
      </c>
      <c r="B107" s="1" t="s">
        <v>733</v>
      </c>
      <c r="C107" s="1" t="s">
        <v>734</v>
      </c>
      <c r="D107" s="1" t="s">
        <v>735</v>
      </c>
      <c r="E107" s="1" t="s">
        <v>736</v>
      </c>
      <c r="F107" s="1" t="s">
        <v>737</v>
      </c>
      <c r="G107" s="1" t="s">
        <v>738</v>
      </c>
      <c r="H107">
        <v>16226599810</v>
      </c>
      <c r="I107" s="1" t="s">
        <v>404</v>
      </c>
      <c r="J107" s="1" t="s">
        <v>27</v>
      </c>
      <c r="K107" s="1" t="s">
        <v>28</v>
      </c>
      <c r="L107" s="1" t="s">
        <v>27</v>
      </c>
      <c r="M107" s="1" t="str">
        <f>IF(LEFT(results_context_via_permalink_gpt_5_2025_08_07_with_justification_run1[[#This Row],[LLM_response]], 21)="CONTEXT_ACCESSED: yes","X","")</f>
        <v/>
      </c>
      <c r="N107" s="1" t="s">
        <v>25</v>
      </c>
      <c r="O107" s="1" t="s">
        <v>25</v>
      </c>
      <c r="P107" s="1" t="s">
        <v>27</v>
      </c>
      <c r="Q107" s="1" t="s">
        <v>739</v>
      </c>
      <c r="R107" s="1" t="s">
        <v>28</v>
      </c>
      <c r="S107" s="1" t="str">
        <f>IF(results_context_via_permalink_gpt_5_2025_08_07_with_justification_run1[[#This Row],[they_type]]=results_context_via_permalink_gpt_5_2025_08_07_with_justification_run1[[#This Row],[LLM_annotation]],"X","")</f>
        <v>X</v>
      </c>
      <c r="T107" s="1" t="s">
        <v>25</v>
      </c>
    </row>
    <row r="108" spans="1:20" x14ac:dyDescent="0.2">
      <c r="A108" s="1" t="s">
        <v>740</v>
      </c>
      <c r="B108" s="1" t="s">
        <v>741</v>
      </c>
      <c r="C108" s="1" t="s">
        <v>742</v>
      </c>
      <c r="D108" s="1" t="s">
        <v>743</v>
      </c>
      <c r="E108" s="1" t="s">
        <v>744</v>
      </c>
      <c r="F108" s="1" t="s">
        <v>745</v>
      </c>
      <c r="G108" s="1" t="s">
        <v>25</v>
      </c>
      <c r="H108">
        <v>15699065690</v>
      </c>
      <c r="I108" s="1" t="s">
        <v>450</v>
      </c>
      <c r="J108" s="1" t="s">
        <v>27</v>
      </c>
      <c r="K108" s="1" t="s">
        <v>131</v>
      </c>
      <c r="L108" s="1" t="s">
        <v>25</v>
      </c>
      <c r="M108" s="1" t="str">
        <f>IF(LEFT(results_context_via_permalink_gpt_5_2025_08_07_with_justification_run1[[#This Row],[LLM_response]], 21)="CONTEXT_ACCESSED: yes","X","")</f>
        <v/>
      </c>
      <c r="N108" s="1" t="s">
        <v>25</v>
      </c>
      <c r="O108" s="1" t="s">
        <v>25</v>
      </c>
      <c r="P108" s="1" t="s">
        <v>25</v>
      </c>
      <c r="Q108" s="1" t="s">
        <v>746</v>
      </c>
      <c r="R108" s="1" t="s">
        <v>131</v>
      </c>
      <c r="S108" s="1" t="str">
        <f>IF(results_context_via_permalink_gpt_5_2025_08_07_with_justification_run1[[#This Row],[they_type]]=results_context_via_permalink_gpt_5_2025_08_07_with_justification_run1[[#This Row],[LLM_annotation]],"X","")</f>
        <v>X</v>
      </c>
      <c r="T108" s="1" t="s">
        <v>25</v>
      </c>
    </row>
    <row r="109" spans="1:20" x14ac:dyDescent="0.2">
      <c r="A109" s="1" t="s">
        <v>747</v>
      </c>
      <c r="B109" s="1" t="s">
        <v>226</v>
      </c>
      <c r="C109" s="1" t="s">
        <v>748</v>
      </c>
      <c r="D109" s="1" t="s">
        <v>749</v>
      </c>
      <c r="E109" s="1" t="s">
        <v>750</v>
      </c>
      <c r="F109" s="1" t="s">
        <v>751</v>
      </c>
      <c r="G109" s="1" t="s">
        <v>25</v>
      </c>
      <c r="H109">
        <v>16226613070</v>
      </c>
      <c r="I109" s="1" t="s">
        <v>404</v>
      </c>
      <c r="J109" s="1" t="s">
        <v>27</v>
      </c>
      <c r="K109" s="1" t="s">
        <v>131</v>
      </c>
      <c r="L109" s="1" t="s">
        <v>25</v>
      </c>
      <c r="M109" s="1" t="str">
        <f>IF(LEFT(results_context_via_permalink_gpt_5_2025_08_07_with_justification_run1[[#This Row],[LLM_response]], 21)="CONTEXT_ACCESSED: yes","X","")</f>
        <v/>
      </c>
      <c r="N109" s="1" t="s">
        <v>25</v>
      </c>
      <c r="O109" s="1" t="s">
        <v>25</v>
      </c>
      <c r="P109" s="1" t="s">
        <v>27</v>
      </c>
      <c r="Q109" s="1" t="s">
        <v>752</v>
      </c>
      <c r="R109" s="1" t="s">
        <v>131</v>
      </c>
      <c r="S109" s="1" t="str">
        <f>IF(results_context_via_permalink_gpt_5_2025_08_07_with_justification_run1[[#This Row],[they_type]]=results_context_via_permalink_gpt_5_2025_08_07_with_justification_run1[[#This Row],[LLM_annotation]],"X","")</f>
        <v>X</v>
      </c>
      <c r="T109" s="1" t="s">
        <v>25</v>
      </c>
    </row>
    <row r="110" spans="1:20" x14ac:dyDescent="0.2">
      <c r="A110" s="1" t="s">
        <v>753</v>
      </c>
      <c r="B110" s="1" t="s">
        <v>754</v>
      </c>
      <c r="C110" s="1" t="s">
        <v>755</v>
      </c>
      <c r="D110" s="1" t="s">
        <v>756</v>
      </c>
      <c r="E110" s="1" t="s">
        <v>757</v>
      </c>
      <c r="F110" s="1" t="s">
        <v>758</v>
      </c>
      <c r="G110" s="1" t="s">
        <v>25</v>
      </c>
      <c r="H110">
        <v>16226716980</v>
      </c>
      <c r="I110" s="1" t="s">
        <v>450</v>
      </c>
      <c r="J110" s="1" t="s">
        <v>27</v>
      </c>
      <c r="K110" s="1" t="s">
        <v>131</v>
      </c>
      <c r="L110" s="1" t="s">
        <v>27</v>
      </c>
      <c r="M110" s="1" t="str">
        <f>IF(LEFT(results_context_via_permalink_gpt_5_2025_08_07_with_justification_run1[[#This Row],[LLM_response]], 21)="CONTEXT_ACCESSED: yes","X","")</f>
        <v/>
      </c>
      <c r="N110" s="1" t="s">
        <v>25</v>
      </c>
      <c r="O110" s="1" t="s">
        <v>25</v>
      </c>
      <c r="P110" s="1" t="s">
        <v>27</v>
      </c>
      <c r="Q110" s="1" t="s">
        <v>759</v>
      </c>
      <c r="R110" s="1" t="s">
        <v>131</v>
      </c>
      <c r="S110" s="1" t="str">
        <f>IF(results_context_via_permalink_gpt_5_2025_08_07_with_justification_run1[[#This Row],[they_type]]=results_context_via_permalink_gpt_5_2025_08_07_with_justification_run1[[#This Row],[LLM_annotation]],"X","")</f>
        <v>X</v>
      </c>
      <c r="T110" s="1" t="s">
        <v>25</v>
      </c>
    </row>
    <row r="111" spans="1:20" x14ac:dyDescent="0.2">
      <c r="A111" s="1" t="s">
        <v>760</v>
      </c>
      <c r="B111" s="1" t="s">
        <v>761</v>
      </c>
      <c r="C111" s="1" t="s">
        <v>762</v>
      </c>
      <c r="D111" s="1" t="s">
        <v>763</v>
      </c>
      <c r="E111" s="1" t="s">
        <v>764</v>
      </c>
      <c r="F111" s="1" t="s">
        <v>765</v>
      </c>
      <c r="G111" s="1" t="s">
        <v>766</v>
      </c>
      <c r="H111">
        <v>15699100840</v>
      </c>
      <c r="I111" s="1" t="s">
        <v>450</v>
      </c>
      <c r="J111" s="1" t="s">
        <v>27</v>
      </c>
      <c r="K111" s="1" t="s">
        <v>36</v>
      </c>
      <c r="L111" s="1" t="s">
        <v>25</v>
      </c>
      <c r="M111" s="1" t="str">
        <f>IF(LEFT(results_context_via_permalink_gpt_5_2025_08_07_with_justification_run1[[#This Row],[LLM_response]], 21)="CONTEXT_ACCESSED: yes","X","")</f>
        <v/>
      </c>
      <c r="N111" s="1" t="s">
        <v>25</v>
      </c>
      <c r="O111" s="1" t="s">
        <v>25</v>
      </c>
      <c r="P111" s="1" t="s">
        <v>25</v>
      </c>
      <c r="Q111" s="1" t="s">
        <v>767</v>
      </c>
      <c r="R111" s="1" t="s">
        <v>36</v>
      </c>
      <c r="S111" s="1" t="str">
        <f>IF(results_context_via_permalink_gpt_5_2025_08_07_with_justification_run1[[#This Row],[they_type]]=results_context_via_permalink_gpt_5_2025_08_07_with_justification_run1[[#This Row],[LLM_annotation]],"X","")</f>
        <v>X</v>
      </c>
      <c r="T111" s="1" t="s">
        <v>25</v>
      </c>
    </row>
    <row r="112" spans="1:20" x14ac:dyDescent="0.2">
      <c r="A112" s="1" t="s">
        <v>768</v>
      </c>
      <c r="B112" s="1" t="s">
        <v>139</v>
      </c>
      <c r="C112" s="1" t="s">
        <v>769</v>
      </c>
      <c r="D112" s="1" t="s">
        <v>770</v>
      </c>
      <c r="E112" s="1" t="s">
        <v>771</v>
      </c>
      <c r="F112" s="1" t="s">
        <v>772</v>
      </c>
      <c r="G112" s="1" t="s">
        <v>25</v>
      </c>
      <c r="H112">
        <v>16226768400</v>
      </c>
      <c r="I112" s="1" t="s">
        <v>471</v>
      </c>
      <c r="J112" s="1" t="s">
        <v>27</v>
      </c>
      <c r="K112" s="1" t="s">
        <v>131</v>
      </c>
      <c r="L112" s="1" t="s">
        <v>25</v>
      </c>
      <c r="M112" s="1" t="str">
        <f>IF(LEFT(results_context_via_permalink_gpt_5_2025_08_07_with_justification_run1[[#This Row],[LLM_response]], 21)="CONTEXT_ACCESSED: yes","X","")</f>
        <v/>
      </c>
      <c r="N112" s="1" t="s">
        <v>25</v>
      </c>
      <c r="O112" s="1" t="s">
        <v>25</v>
      </c>
      <c r="P112" s="1" t="s">
        <v>25</v>
      </c>
      <c r="Q112" s="1" t="s">
        <v>773</v>
      </c>
      <c r="R112" s="1" t="s">
        <v>131</v>
      </c>
      <c r="S112" s="1" t="str">
        <f>IF(results_context_via_permalink_gpt_5_2025_08_07_with_justification_run1[[#This Row],[they_type]]=results_context_via_permalink_gpt_5_2025_08_07_with_justification_run1[[#This Row],[LLM_annotation]],"X","")</f>
        <v>X</v>
      </c>
      <c r="T112" s="1" t="s">
        <v>25</v>
      </c>
    </row>
    <row r="113" spans="1:20" x14ac:dyDescent="0.2">
      <c r="A113" s="1" t="s">
        <v>774</v>
      </c>
      <c r="B113" s="1" t="s">
        <v>775</v>
      </c>
      <c r="C113" s="1" t="s">
        <v>776</v>
      </c>
      <c r="D113" s="1" t="s">
        <v>777</v>
      </c>
      <c r="E113" s="1" t="s">
        <v>778</v>
      </c>
      <c r="F113" s="1" t="s">
        <v>779</v>
      </c>
      <c r="G113" s="1" t="s">
        <v>780</v>
      </c>
      <c r="H113">
        <v>16226780130</v>
      </c>
      <c r="I113" s="1" t="s">
        <v>450</v>
      </c>
      <c r="J113" s="1" t="s">
        <v>27</v>
      </c>
      <c r="K113" s="1" t="s">
        <v>28</v>
      </c>
      <c r="L113" s="1" t="s">
        <v>25</v>
      </c>
      <c r="M113" s="1" t="str">
        <f>IF(LEFT(results_context_via_permalink_gpt_5_2025_08_07_with_justification_run1[[#This Row],[LLM_response]], 21)="CONTEXT_ACCESSED: yes","X","")</f>
        <v/>
      </c>
      <c r="N113" s="1" t="s">
        <v>25</v>
      </c>
      <c r="O113" s="1" t="s">
        <v>25</v>
      </c>
      <c r="P113" s="1" t="s">
        <v>25</v>
      </c>
      <c r="Q113" s="1" t="s">
        <v>781</v>
      </c>
      <c r="R113" s="1" t="s">
        <v>28</v>
      </c>
      <c r="S113" s="1" t="str">
        <f>IF(results_context_via_permalink_gpt_5_2025_08_07_with_justification_run1[[#This Row],[they_type]]=results_context_via_permalink_gpt_5_2025_08_07_with_justification_run1[[#This Row],[LLM_annotation]],"X","")</f>
        <v>X</v>
      </c>
      <c r="T113" s="1" t="s">
        <v>25</v>
      </c>
    </row>
    <row r="114" spans="1:20" x14ac:dyDescent="0.2">
      <c r="A114" s="1" t="s">
        <v>782</v>
      </c>
      <c r="B114" s="1" t="s">
        <v>783</v>
      </c>
      <c r="C114" s="1" t="s">
        <v>784</v>
      </c>
      <c r="D114" s="1" t="s">
        <v>785</v>
      </c>
      <c r="E114" s="1" t="s">
        <v>786</v>
      </c>
      <c r="F114" s="1" t="s">
        <v>787</v>
      </c>
      <c r="G114" s="1" t="s">
        <v>25</v>
      </c>
      <c r="H114">
        <v>16226802050</v>
      </c>
      <c r="I114" s="1" t="s">
        <v>368</v>
      </c>
      <c r="J114" s="1" t="s">
        <v>27</v>
      </c>
      <c r="K114" s="1" t="s">
        <v>28</v>
      </c>
      <c r="L114" s="1" t="s">
        <v>27</v>
      </c>
      <c r="M114" s="1" t="str">
        <f>IF(LEFT(results_context_via_permalink_gpt_5_2025_08_07_with_justification_run1[[#This Row],[LLM_response]], 21)="CONTEXT_ACCESSED: yes","X","")</f>
        <v/>
      </c>
      <c r="N114" s="1" t="s">
        <v>25</v>
      </c>
      <c r="O114" s="1" t="s">
        <v>25</v>
      </c>
      <c r="P114" s="1" t="s">
        <v>25</v>
      </c>
      <c r="Q114" s="1" t="s">
        <v>788</v>
      </c>
      <c r="R114" s="1" t="s">
        <v>28</v>
      </c>
      <c r="S114" s="1" t="str">
        <f>IF(results_context_via_permalink_gpt_5_2025_08_07_with_justification_run1[[#This Row],[they_type]]=results_context_via_permalink_gpt_5_2025_08_07_with_justification_run1[[#This Row],[LLM_annotation]],"X","")</f>
        <v>X</v>
      </c>
      <c r="T114" s="1" t="s">
        <v>25</v>
      </c>
    </row>
    <row r="115" spans="1:20" x14ac:dyDescent="0.2">
      <c r="A115" s="1" t="s">
        <v>789</v>
      </c>
      <c r="B115" s="1" t="s">
        <v>790</v>
      </c>
      <c r="C115" s="1" t="s">
        <v>791</v>
      </c>
      <c r="D115" s="1" t="s">
        <v>792</v>
      </c>
      <c r="E115" s="1" t="s">
        <v>793</v>
      </c>
      <c r="F115" s="1" t="s">
        <v>794</v>
      </c>
      <c r="G115" s="1" t="s">
        <v>25</v>
      </c>
      <c r="H115">
        <v>15699120980</v>
      </c>
      <c r="I115" s="1" t="s">
        <v>368</v>
      </c>
      <c r="J115" s="1" t="s">
        <v>27</v>
      </c>
      <c r="K115" s="1" t="s">
        <v>36</v>
      </c>
      <c r="L115" s="1" t="s">
        <v>25</v>
      </c>
      <c r="M115" s="1" t="str">
        <f>IF(LEFT(results_context_via_permalink_gpt_5_2025_08_07_with_justification_run1[[#This Row],[LLM_response]], 21)="CONTEXT_ACCESSED: yes","X","")</f>
        <v/>
      </c>
      <c r="N115" s="1" t="s">
        <v>25</v>
      </c>
      <c r="O115" s="1" t="s">
        <v>25</v>
      </c>
      <c r="P115" s="1" t="s">
        <v>25</v>
      </c>
      <c r="Q115" s="1" t="s">
        <v>795</v>
      </c>
      <c r="R115" s="1" t="s">
        <v>36</v>
      </c>
      <c r="S115" s="1" t="str">
        <f>IF(results_context_via_permalink_gpt_5_2025_08_07_with_justification_run1[[#This Row],[they_type]]=results_context_via_permalink_gpt_5_2025_08_07_with_justification_run1[[#This Row],[LLM_annotation]],"X","")</f>
        <v>X</v>
      </c>
      <c r="T115" s="1" t="s">
        <v>25</v>
      </c>
    </row>
    <row r="116" spans="1:20" x14ac:dyDescent="0.2">
      <c r="A116" s="1" t="s">
        <v>796</v>
      </c>
      <c r="B116" s="1" t="s">
        <v>797</v>
      </c>
      <c r="C116" s="1" t="s">
        <v>798</v>
      </c>
      <c r="D116" s="1" t="s">
        <v>799</v>
      </c>
      <c r="E116" s="1" t="s">
        <v>800</v>
      </c>
      <c r="F116" s="1" t="s">
        <v>801</v>
      </c>
      <c r="G116" s="1" t="s">
        <v>25</v>
      </c>
      <c r="H116">
        <v>16226848040</v>
      </c>
      <c r="I116" s="1" t="s">
        <v>123</v>
      </c>
      <c r="J116" s="1" t="s">
        <v>27</v>
      </c>
      <c r="K116" s="1" t="s">
        <v>36</v>
      </c>
      <c r="L116" s="1" t="s">
        <v>25</v>
      </c>
      <c r="M116" s="1" t="str">
        <f>IF(LEFT(results_context_via_permalink_gpt_5_2025_08_07_with_justification_run1[[#This Row],[LLM_response]], 21)="CONTEXT_ACCESSED: yes","X","")</f>
        <v/>
      </c>
      <c r="N116" s="1" t="s">
        <v>25</v>
      </c>
      <c r="O116" s="1" t="s">
        <v>25</v>
      </c>
      <c r="P116" s="1" t="s">
        <v>25</v>
      </c>
      <c r="Q116" s="1" t="s">
        <v>802</v>
      </c>
      <c r="R116" s="1" t="s">
        <v>28</v>
      </c>
      <c r="S116" s="1" t="str">
        <f>IF(results_context_via_permalink_gpt_5_2025_08_07_with_justification_run1[[#This Row],[they_type]]=results_context_via_permalink_gpt_5_2025_08_07_with_justification_run1[[#This Row],[LLM_annotation]],"X","")</f>
        <v/>
      </c>
      <c r="T116" s="1" t="s">
        <v>25</v>
      </c>
    </row>
    <row r="117" spans="1:20" x14ac:dyDescent="0.2">
      <c r="A117" s="1" t="s">
        <v>803</v>
      </c>
      <c r="B117" s="1" t="s">
        <v>262</v>
      </c>
      <c r="C117" s="1" t="s">
        <v>804</v>
      </c>
      <c r="D117" s="1" t="s">
        <v>805</v>
      </c>
      <c r="E117" s="1" t="s">
        <v>806</v>
      </c>
      <c r="F117" s="1" t="s">
        <v>807</v>
      </c>
      <c r="G117" s="1" t="s">
        <v>25</v>
      </c>
      <c r="H117">
        <v>16226870200</v>
      </c>
      <c r="I117" s="1" t="s">
        <v>471</v>
      </c>
      <c r="J117" s="1" t="s">
        <v>27</v>
      </c>
      <c r="K117" s="1" t="s">
        <v>131</v>
      </c>
      <c r="L117" s="1" t="s">
        <v>25</v>
      </c>
      <c r="M117" s="1" t="str">
        <f>IF(LEFT(results_context_via_permalink_gpt_5_2025_08_07_with_justification_run1[[#This Row],[LLM_response]], 21)="CONTEXT_ACCESSED: yes","X","")</f>
        <v/>
      </c>
      <c r="N117" s="1" t="s">
        <v>25</v>
      </c>
      <c r="O117" s="1" t="s">
        <v>25</v>
      </c>
      <c r="P117" s="1" t="s">
        <v>25</v>
      </c>
      <c r="Q117" s="1" t="s">
        <v>808</v>
      </c>
      <c r="R117" s="1" t="s">
        <v>131</v>
      </c>
      <c r="S117" s="1" t="str">
        <f>IF(results_context_via_permalink_gpt_5_2025_08_07_with_justification_run1[[#This Row],[they_type]]=results_context_via_permalink_gpt_5_2025_08_07_with_justification_run1[[#This Row],[LLM_annotation]],"X","")</f>
        <v>X</v>
      </c>
      <c r="T117" s="1" t="s">
        <v>25</v>
      </c>
    </row>
    <row r="118" spans="1:20" x14ac:dyDescent="0.2">
      <c r="A118" s="1" t="s">
        <v>809</v>
      </c>
      <c r="B118" s="1" t="s">
        <v>618</v>
      </c>
      <c r="C118" s="1" t="s">
        <v>810</v>
      </c>
      <c r="D118" s="1" t="s">
        <v>811</v>
      </c>
      <c r="E118" s="1" t="s">
        <v>812</v>
      </c>
      <c r="F118" s="1" t="s">
        <v>813</v>
      </c>
      <c r="G118" s="1" t="s">
        <v>25</v>
      </c>
      <c r="H118">
        <v>16226902150</v>
      </c>
      <c r="I118" s="1" t="s">
        <v>471</v>
      </c>
      <c r="J118" s="1" t="s">
        <v>27</v>
      </c>
      <c r="K118" s="1" t="s">
        <v>28</v>
      </c>
      <c r="L118" s="1" t="s">
        <v>27</v>
      </c>
      <c r="M118" s="1" t="str">
        <f>IF(LEFT(results_context_via_permalink_gpt_5_2025_08_07_with_justification_run1[[#This Row],[LLM_response]], 21)="CONTEXT_ACCESSED: yes","X","")</f>
        <v/>
      </c>
      <c r="N118" s="1" t="s">
        <v>25</v>
      </c>
      <c r="O118" s="1" t="s">
        <v>25</v>
      </c>
      <c r="P118" s="1" t="s">
        <v>25</v>
      </c>
      <c r="Q118" s="1" t="s">
        <v>814</v>
      </c>
      <c r="R118" s="1" t="s">
        <v>36</v>
      </c>
      <c r="S118" s="1" t="str">
        <f>IF(results_context_via_permalink_gpt_5_2025_08_07_with_justification_run1[[#This Row],[they_type]]=results_context_via_permalink_gpt_5_2025_08_07_with_justification_run1[[#This Row],[LLM_annotation]],"X","")</f>
        <v/>
      </c>
      <c r="T118" s="1" t="s">
        <v>25</v>
      </c>
    </row>
    <row r="119" spans="1:20" x14ac:dyDescent="0.2">
      <c r="A119" s="1" t="s">
        <v>815</v>
      </c>
      <c r="B119" s="1" t="s">
        <v>62</v>
      </c>
      <c r="C119" s="1" t="s">
        <v>816</v>
      </c>
      <c r="D119" s="1" t="s">
        <v>817</v>
      </c>
      <c r="E119" s="1" t="s">
        <v>818</v>
      </c>
      <c r="F119" s="1" t="s">
        <v>819</v>
      </c>
      <c r="G119" s="1" t="s">
        <v>25</v>
      </c>
      <c r="H119">
        <v>16226919510</v>
      </c>
      <c r="I119" s="1" t="s">
        <v>368</v>
      </c>
      <c r="J119" s="1" t="s">
        <v>27</v>
      </c>
      <c r="K119" s="1" t="s">
        <v>28</v>
      </c>
      <c r="L119" s="1" t="s">
        <v>27</v>
      </c>
      <c r="M119" s="1" t="str">
        <f>IF(LEFT(results_context_via_permalink_gpt_5_2025_08_07_with_justification_run1[[#This Row],[LLM_response]], 21)="CONTEXT_ACCESSED: yes","X","")</f>
        <v/>
      </c>
      <c r="N119" s="1" t="s">
        <v>25</v>
      </c>
      <c r="O119" s="1" t="s">
        <v>25</v>
      </c>
      <c r="P119" s="1" t="s">
        <v>25</v>
      </c>
      <c r="Q119" s="1" t="s">
        <v>820</v>
      </c>
      <c r="R119" s="1" t="s">
        <v>28</v>
      </c>
      <c r="S119" s="1" t="str">
        <f>IF(results_context_via_permalink_gpt_5_2025_08_07_with_justification_run1[[#This Row],[they_type]]=results_context_via_permalink_gpt_5_2025_08_07_with_justification_run1[[#This Row],[LLM_annotation]],"X","")</f>
        <v>X</v>
      </c>
      <c r="T119" s="1" t="s">
        <v>25</v>
      </c>
    </row>
    <row r="120" spans="1:20" x14ac:dyDescent="0.2">
      <c r="A120" s="1" t="s">
        <v>821</v>
      </c>
      <c r="B120" s="1" t="s">
        <v>822</v>
      </c>
      <c r="C120" s="1" t="s">
        <v>823</v>
      </c>
      <c r="D120" s="1" t="s">
        <v>824</v>
      </c>
      <c r="E120" s="1" t="s">
        <v>825</v>
      </c>
      <c r="F120" s="1" t="s">
        <v>826</v>
      </c>
      <c r="G120" s="1" t="s">
        <v>25</v>
      </c>
      <c r="H120">
        <v>16225074990</v>
      </c>
      <c r="I120" s="1" t="s">
        <v>404</v>
      </c>
      <c r="J120" s="1" t="s">
        <v>27</v>
      </c>
      <c r="K120" s="1" t="s">
        <v>36</v>
      </c>
      <c r="L120" s="1" t="s">
        <v>25</v>
      </c>
      <c r="M120" s="1" t="str">
        <f>IF(LEFT(results_context_via_permalink_gpt_5_2025_08_07_with_justification_run1[[#This Row],[LLM_response]], 21)="CONTEXT_ACCESSED: yes","X","")</f>
        <v/>
      </c>
      <c r="N120" s="1" t="s">
        <v>25</v>
      </c>
      <c r="O120" s="1" t="s">
        <v>25</v>
      </c>
      <c r="P120" s="1" t="s">
        <v>25</v>
      </c>
      <c r="Q120" s="1" t="s">
        <v>827</v>
      </c>
      <c r="R120" s="1" t="s">
        <v>28</v>
      </c>
      <c r="S120" s="1" t="str">
        <f>IF(results_context_via_permalink_gpt_5_2025_08_07_with_justification_run1[[#This Row],[they_type]]=results_context_via_permalink_gpt_5_2025_08_07_with_justification_run1[[#This Row],[LLM_annotation]],"X","")</f>
        <v/>
      </c>
      <c r="T120" s="1" t="s">
        <v>25</v>
      </c>
    </row>
    <row r="121" spans="1:20" x14ac:dyDescent="0.2">
      <c r="A121" s="1" t="s">
        <v>828</v>
      </c>
      <c r="B121" s="1" t="s">
        <v>829</v>
      </c>
      <c r="C121" s="1" t="s">
        <v>830</v>
      </c>
      <c r="D121" s="1" t="s">
        <v>831</v>
      </c>
      <c r="E121" s="1" t="s">
        <v>832</v>
      </c>
      <c r="F121" s="1" t="s">
        <v>34</v>
      </c>
      <c r="G121" s="1" t="s">
        <v>25</v>
      </c>
      <c r="H121">
        <v>16227182460</v>
      </c>
      <c r="I121" s="1" t="s">
        <v>404</v>
      </c>
      <c r="J121" s="1" t="s">
        <v>27</v>
      </c>
      <c r="K121" s="1" t="s">
        <v>28</v>
      </c>
      <c r="L121" s="1" t="s">
        <v>25</v>
      </c>
      <c r="M121" s="1" t="str">
        <f>IF(LEFT(results_context_via_permalink_gpt_5_2025_08_07_with_justification_run1[[#This Row],[LLM_response]], 21)="CONTEXT_ACCESSED: yes","X","")</f>
        <v/>
      </c>
      <c r="N121" s="1" t="s">
        <v>25</v>
      </c>
      <c r="O121" s="1" t="s">
        <v>25</v>
      </c>
      <c r="P121" s="1" t="s">
        <v>25</v>
      </c>
      <c r="Q121" s="1" t="s">
        <v>833</v>
      </c>
      <c r="R121" s="1" t="s">
        <v>28</v>
      </c>
      <c r="S121" s="1" t="str">
        <f>IF(results_context_via_permalink_gpt_5_2025_08_07_with_justification_run1[[#This Row],[they_type]]=results_context_via_permalink_gpt_5_2025_08_07_with_justification_run1[[#This Row],[LLM_annotation]],"X","")</f>
        <v>X</v>
      </c>
      <c r="T121" s="1" t="s">
        <v>25</v>
      </c>
    </row>
    <row r="122" spans="1:20" x14ac:dyDescent="0.2">
      <c r="A122" s="1" t="s">
        <v>834</v>
      </c>
      <c r="B122" s="1" t="s">
        <v>835</v>
      </c>
      <c r="C122" s="1" t="s">
        <v>836</v>
      </c>
      <c r="D122" s="1" t="s">
        <v>837</v>
      </c>
      <c r="E122" s="1" t="s">
        <v>750</v>
      </c>
      <c r="F122" s="1" t="s">
        <v>838</v>
      </c>
      <c r="G122" s="1" t="s">
        <v>25</v>
      </c>
      <c r="H122">
        <v>16227212030</v>
      </c>
      <c r="I122" s="1" t="s">
        <v>368</v>
      </c>
      <c r="J122" s="1" t="s">
        <v>27</v>
      </c>
      <c r="K122" s="1" t="s">
        <v>131</v>
      </c>
      <c r="L122" s="1" t="s">
        <v>25</v>
      </c>
      <c r="M122" s="1" t="str">
        <f>IF(LEFT(results_context_via_permalink_gpt_5_2025_08_07_with_justification_run1[[#This Row],[LLM_response]], 21)="CONTEXT_ACCESSED: yes","X","")</f>
        <v/>
      </c>
      <c r="N122" s="1" t="s">
        <v>25</v>
      </c>
      <c r="O122" s="1" t="s">
        <v>25</v>
      </c>
      <c r="P122" s="1" t="s">
        <v>25</v>
      </c>
      <c r="Q122" s="1" t="s">
        <v>839</v>
      </c>
      <c r="R122" s="1" t="s">
        <v>131</v>
      </c>
      <c r="S122" s="1" t="str">
        <f>IF(results_context_via_permalink_gpt_5_2025_08_07_with_justification_run1[[#This Row],[they_type]]=results_context_via_permalink_gpt_5_2025_08_07_with_justification_run1[[#This Row],[LLM_annotation]],"X","")</f>
        <v>X</v>
      </c>
      <c r="T122" s="1" t="s">
        <v>25</v>
      </c>
    </row>
    <row r="123" spans="1:20" x14ac:dyDescent="0.2">
      <c r="A123" s="1" t="s">
        <v>840</v>
      </c>
      <c r="B123" s="1" t="s">
        <v>421</v>
      </c>
      <c r="C123" s="1" t="s">
        <v>841</v>
      </c>
      <c r="D123" s="1" t="s">
        <v>842</v>
      </c>
      <c r="E123" s="1" t="s">
        <v>843</v>
      </c>
      <c r="F123" s="1" t="s">
        <v>844</v>
      </c>
      <c r="G123" s="1" t="s">
        <v>25</v>
      </c>
      <c r="H123">
        <v>16227320740</v>
      </c>
      <c r="I123" s="1" t="s">
        <v>471</v>
      </c>
      <c r="J123" s="1" t="s">
        <v>27</v>
      </c>
      <c r="K123" s="1" t="s">
        <v>28</v>
      </c>
      <c r="L123" s="1" t="s">
        <v>27</v>
      </c>
      <c r="M123" s="1" t="str">
        <f>IF(LEFT(results_context_via_permalink_gpt_5_2025_08_07_with_justification_run1[[#This Row],[LLM_response]], 21)="CONTEXT_ACCESSED: yes","X","")</f>
        <v/>
      </c>
      <c r="N123" s="1" t="s">
        <v>25</v>
      </c>
      <c r="O123" s="1" t="s">
        <v>25</v>
      </c>
      <c r="P123" s="1" t="s">
        <v>25</v>
      </c>
      <c r="Q123" s="1" t="s">
        <v>845</v>
      </c>
      <c r="R123" s="1" t="s">
        <v>28</v>
      </c>
      <c r="S123" s="1" t="str">
        <f>IF(results_context_via_permalink_gpt_5_2025_08_07_with_justification_run1[[#This Row],[they_type]]=results_context_via_permalink_gpt_5_2025_08_07_with_justification_run1[[#This Row],[LLM_annotation]],"X","")</f>
        <v>X</v>
      </c>
      <c r="T123" s="1" t="s">
        <v>25</v>
      </c>
    </row>
    <row r="124" spans="1:20" x14ac:dyDescent="0.2">
      <c r="A124" s="1" t="s">
        <v>846</v>
      </c>
      <c r="B124" s="1" t="s">
        <v>847</v>
      </c>
      <c r="C124" s="1" t="s">
        <v>848</v>
      </c>
      <c r="D124" s="1" t="s">
        <v>849</v>
      </c>
      <c r="E124" s="1" t="s">
        <v>850</v>
      </c>
      <c r="F124" s="1" t="s">
        <v>851</v>
      </c>
      <c r="G124" s="1" t="s">
        <v>852</v>
      </c>
      <c r="H124">
        <v>16227338550</v>
      </c>
      <c r="I124" s="1" t="s">
        <v>368</v>
      </c>
      <c r="J124" s="1" t="s">
        <v>27</v>
      </c>
      <c r="K124" s="1" t="s">
        <v>131</v>
      </c>
      <c r="L124" s="1" t="s">
        <v>25</v>
      </c>
      <c r="M124" s="1" t="str">
        <f>IF(LEFT(results_context_via_permalink_gpt_5_2025_08_07_with_justification_run1[[#This Row],[LLM_response]], 21)="CONTEXT_ACCESSED: yes","X","")</f>
        <v/>
      </c>
      <c r="N124" s="1" t="s">
        <v>25</v>
      </c>
      <c r="O124" s="1" t="s">
        <v>25</v>
      </c>
      <c r="P124" s="1" t="s">
        <v>25</v>
      </c>
      <c r="Q124" s="1" t="s">
        <v>853</v>
      </c>
      <c r="R124" s="1" t="s">
        <v>131</v>
      </c>
      <c r="S124" s="1" t="str">
        <f>IF(results_context_via_permalink_gpt_5_2025_08_07_with_justification_run1[[#This Row],[they_type]]=results_context_via_permalink_gpt_5_2025_08_07_with_justification_run1[[#This Row],[LLM_annotation]],"X","")</f>
        <v>X</v>
      </c>
      <c r="T124" s="1" t="s">
        <v>25</v>
      </c>
    </row>
    <row r="125" spans="1:20" x14ac:dyDescent="0.2">
      <c r="A125" s="1" t="s">
        <v>854</v>
      </c>
      <c r="B125" s="1" t="s">
        <v>855</v>
      </c>
      <c r="C125" s="1" t="s">
        <v>856</v>
      </c>
      <c r="D125" s="1" t="s">
        <v>857</v>
      </c>
      <c r="E125" s="1" t="s">
        <v>417</v>
      </c>
      <c r="F125" s="1" t="s">
        <v>34</v>
      </c>
      <c r="G125" s="1" t="s">
        <v>25</v>
      </c>
      <c r="H125">
        <v>16227412250</v>
      </c>
      <c r="I125" s="1" t="s">
        <v>404</v>
      </c>
      <c r="J125" s="1" t="s">
        <v>27</v>
      </c>
      <c r="K125" s="1" t="s">
        <v>131</v>
      </c>
      <c r="L125" s="1" t="s">
        <v>25</v>
      </c>
      <c r="M125" s="1" t="str">
        <f>IF(LEFT(results_context_via_permalink_gpt_5_2025_08_07_with_justification_run1[[#This Row],[LLM_response]], 21)="CONTEXT_ACCESSED: yes","X","")</f>
        <v/>
      </c>
      <c r="N125" s="1" t="s">
        <v>25</v>
      </c>
      <c r="O125" s="1" t="s">
        <v>25</v>
      </c>
      <c r="P125" s="1" t="s">
        <v>25</v>
      </c>
      <c r="Q125" s="1" t="s">
        <v>858</v>
      </c>
      <c r="R125" s="1" t="s">
        <v>131</v>
      </c>
      <c r="S125" s="1" t="str">
        <f>IF(results_context_via_permalink_gpt_5_2025_08_07_with_justification_run1[[#This Row],[they_type]]=results_context_via_permalink_gpt_5_2025_08_07_with_justification_run1[[#This Row],[LLM_annotation]],"X","")</f>
        <v>X</v>
      </c>
      <c r="T125" s="1" t="s">
        <v>25</v>
      </c>
    </row>
    <row r="126" spans="1:20" x14ac:dyDescent="0.2">
      <c r="A126" s="1" t="s">
        <v>859</v>
      </c>
      <c r="B126" s="1" t="s">
        <v>517</v>
      </c>
      <c r="C126" s="1" t="s">
        <v>860</v>
      </c>
      <c r="D126" s="1" t="s">
        <v>861</v>
      </c>
      <c r="E126" s="1" t="s">
        <v>366</v>
      </c>
      <c r="F126" s="1" t="s">
        <v>862</v>
      </c>
      <c r="G126" s="1" t="s">
        <v>25</v>
      </c>
      <c r="H126">
        <v>16227455020</v>
      </c>
      <c r="I126" s="1" t="s">
        <v>391</v>
      </c>
      <c r="J126" s="1" t="s">
        <v>27</v>
      </c>
      <c r="K126" s="1" t="s">
        <v>28</v>
      </c>
      <c r="L126" s="1" t="s">
        <v>25</v>
      </c>
      <c r="M126" s="1" t="str">
        <f>IF(LEFT(results_context_via_permalink_gpt_5_2025_08_07_with_justification_run1[[#This Row],[LLM_response]], 21)="CONTEXT_ACCESSED: yes","X","")</f>
        <v>X</v>
      </c>
      <c r="N126" s="1" t="s">
        <v>25</v>
      </c>
      <c r="O126" s="1" t="s">
        <v>25</v>
      </c>
      <c r="P126" s="1" t="s">
        <v>25</v>
      </c>
      <c r="Q126" s="1" t="s">
        <v>863</v>
      </c>
      <c r="R126" s="1" t="s">
        <v>131</v>
      </c>
      <c r="S126" s="1" t="str">
        <f>IF(results_context_via_permalink_gpt_5_2025_08_07_with_justification_run1[[#This Row],[they_type]]=results_context_via_permalink_gpt_5_2025_08_07_with_justification_run1[[#This Row],[LLM_annotation]],"X","")</f>
        <v/>
      </c>
      <c r="T126" s="1" t="s">
        <v>25</v>
      </c>
    </row>
    <row r="127" spans="1:20" x14ac:dyDescent="0.2">
      <c r="A127" s="1" t="s">
        <v>864</v>
      </c>
      <c r="B127" s="1" t="s">
        <v>421</v>
      </c>
      <c r="C127" s="1" t="s">
        <v>865</v>
      </c>
      <c r="D127" s="1" t="s">
        <v>866</v>
      </c>
      <c r="E127" s="1" t="s">
        <v>867</v>
      </c>
      <c r="F127" s="1" t="s">
        <v>868</v>
      </c>
      <c r="G127" s="1" t="s">
        <v>25</v>
      </c>
      <c r="H127">
        <v>16227464650</v>
      </c>
      <c r="I127" s="1" t="s">
        <v>869</v>
      </c>
      <c r="J127" s="1" t="s">
        <v>27</v>
      </c>
      <c r="K127" s="1" t="s">
        <v>28</v>
      </c>
      <c r="L127" s="1" t="s">
        <v>27</v>
      </c>
      <c r="M127" s="1" t="str">
        <f>IF(LEFT(results_context_via_permalink_gpt_5_2025_08_07_with_justification_run1[[#This Row],[LLM_response]], 21)="CONTEXT_ACCESSED: yes","X","")</f>
        <v>X</v>
      </c>
      <c r="N127" s="1" t="s">
        <v>25</v>
      </c>
      <c r="O127" s="1" t="s">
        <v>25</v>
      </c>
      <c r="P127" s="1" t="s">
        <v>27</v>
      </c>
      <c r="Q127" s="1" t="s">
        <v>870</v>
      </c>
      <c r="R127" s="1" t="s">
        <v>131</v>
      </c>
      <c r="S127" s="1" t="str">
        <f>IF(results_context_via_permalink_gpt_5_2025_08_07_with_justification_run1[[#This Row],[they_type]]=results_context_via_permalink_gpt_5_2025_08_07_with_justification_run1[[#This Row],[LLM_annotation]],"X","")</f>
        <v/>
      </c>
      <c r="T127" s="1" t="s">
        <v>25</v>
      </c>
    </row>
    <row r="128" spans="1:20" x14ac:dyDescent="0.2">
      <c r="A128" s="1" t="s">
        <v>871</v>
      </c>
      <c r="B128" s="1" t="s">
        <v>872</v>
      </c>
      <c r="C128" s="1" t="s">
        <v>873</v>
      </c>
      <c r="D128" s="1" t="s">
        <v>874</v>
      </c>
      <c r="E128" s="1" t="s">
        <v>875</v>
      </c>
      <c r="F128" s="1" t="s">
        <v>876</v>
      </c>
      <c r="G128" s="1" t="s">
        <v>877</v>
      </c>
      <c r="H128">
        <v>16227540360</v>
      </c>
      <c r="I128" s="1" t="s">
        <v>368</v>
      </c>
      <c r="J128" s="1" t="s">
        <v>27</v>
      </c>
      <c r="K128" s="1" t="s">
        <v>131</v>
      </c>
      <c r="L128" s="1" t="s">
        <v>25</v>
      </c>
      <c r="M128" s="1" t="str">
        <f>IF(LEFT(results_context_via_permalink_gpt_5_2025_08_07_with_justification_run1[[#This Row],[LLM_response]], 21)="CONTEXT_ACCESSED: yes","X","")</f>
        <v/>
      </c>
      <c r="N128" s="1" t="s">
        <v>25</v>
      </c>
      <c r="O128" s="1" t="s">
        <v>25</v>
      </c>
      <c r="P128" s="1" t="s">
        <v>25</v>
      </c>
      <c r="Q128" s="1" t="s">
        <v>878</v>
      </c>
      <c r="R128" s="1" t="s">
        <v>131</v>
      </c>
      <c r="S128" s="1" t="str">
        <f>IF(results_context_via_permalink_gpt_5_2025_08_07_with_justification_run1[[#This Row],[they_type]]=results_context_via_permalink_gpt_5_2025_08_07_with_justification_run1[[#This Row],[LLM_annotation]],"X","")</f>
        <v>X</v>
      </c>
      <c r="T128" s="1" t="s">
        <v>25</v>
      </c>
    </row>
    <row r="129" spans="1:20" x14ac:dyDescent="0.2">
      <c r="A129" s="1" t="s">
        <v>879</v>
      </c>
      <c r="B129" s="1" t="s">
        <v>880</v>
      </c>
      <c r="C129" s="1" t="s">
        <v>881</v>
      </c>
      <c r="D129" s="1" t="s">
        <v>882</v>
      </c>
      <c r="E129" s="1" t="s">
        <v>366</v>
      </c>
      <c r="F129" s="1" t="s">
        <v>883</v>
      </c>
      <c r="G129" s="1" t="s">
        <v>25</v>
      </c>
      <c r="H129">
        <v>16227595790</v>
      </c>
      <c r="I129" s="1" t="s">
        <v>450</v>
      </c>
      <c r="J129" s="1" t="s">
        <v>27</v>
      </c>
      <c r="K129" s="1" t="s">
        <v>28</v>
      </c>
      <c r="L129" s="1" t="s">
        <v>25</v>
      </c>
      <c r="M129" s="1" t="str">
        <f>IF(LEFT(results_context_via_permalink_gpt_5_2025_08_07_with_justification_run1[[#This Row],[LLM_response]], 21)="CONTEXT_ACCESSED: yes","X","")</f>
        <v/>
      </c>
      <c r="N129" s="1" t="s">
        <v>25</v>
      </c>
      <c r="O129" s="1" t="s">
        <v>25</v>
      </c>
      <c r="P129" s="1" t="s">
        <v>25</v>
      </c>
      <c r="Q129" s="1" t="s">
        <v>884</v>
      </c>
      <c r="R129" s="1" t="s">
        <v>28</v>
      </c>
      <c r="S129" s="1" t="str">
        <f>IF(results_context_via_permalink_gpt_5_2025_08_07_with_justification_run1[[#This Row],[they_type]]=results_context_via_permalink_gpt_5_2025_08_07_with_justification_run1[[#This Row],[LLM_annotation]],"X","")</f>
        <v>X</v>
      </c>
      <c r="T129" s="1" t="s">
        <v>25</v>
      </c>
    </row>
    <row r="130" spans="1:20" x14ac:dyDescent="0.2">
      <c r="A130" s="1" t="s">
        <v>885</v>
      </c>
      <c r="B130" s="1" t="s">
        <v>886</v>
      </c>
      <c r="C130" s="1" t="s">
        <v>887</v>
      </c>
      <c r="D130" s="1" t="s">
        <v>888</v>
      </c>
      <c r="E130" s="1" t="s">
        <v>889</v>
      </c>
      <c r="F130" s="1" t="s">
        <v>890</v>
      </c>
      <c r="G130" s="1" t="s">
        <v>25</v>
      </c>
      <c r="H130">
        <v>16227598790</v>
      </c>
      <c r="I130" s="1" t="s">
        <v>450</v>
      </c>
      <c r="J130" s="1" t="s">
        <v>27</v>
      </c>
      <c r="K130" s="1" t="s">
        <v>28</v>
      </c>
      <c r="L130" s="1" t="s">
        <v>27</v>
      </c>
      <c r="M130" s="1" t="str">
        <f>IF(LEFT(results_context_via_permalink_gpt_5_2025_08_07_with_justification_run1[[#This Row],[LLM_response]], 21)="CONTEXT_ACCESSED: yes","X","")</f>
        <v>X</v>
      </c>
      <c r="N130" s="1" t="s">
        <v>25</v>
      </c>
      <c r="O130" s="1" t="s">
        <v>25</v>
      </c>
      <c r="P130" s="1" t="s">
        <v>27</v>
      </c>
      <c r="Q130" s="1" t="s">
        <v>891</v>
      </c>
      <c r="R130" s="1" t="s">
        <v>28</v>
      </c>
      <c r="S130" s="1" t="str">
        <f>IF(results_context_via_permalink_gpt_5_2025_08_07_with_justification_run1[[#This Row],[they_type]]=results_context_via_permalink_gpt_5_2025_08_07_with_justification_run1[[#This Row],[LLM_annotation]],"X","")</f>
        <v>X</v>
      </c>
      <c r="T130" s="1" t="s">
        <v>25</v>
      </c>
    </row>
    <row r="131" spans="1:20" x14ac:dyDescent="0.2">
      <c r="A131" s="1" t="s">
        <v>892</v>
      </c>
      <c r="B131" s="1" t="s">
        <v>893</v>
      </c>
      <c r="C131" s="1" t="s">
        <v>894</v>
      </c>
      <c r="D131" s="1" t="s">
        <v>895</v>
      </c>
      <c r="E131" s="1" t="s">
        <v>410</v>
      </c>
      <c r="F131" s="1" t="s">
        <v>896</v>
      </c>
      <c r="G131" s="1" t="s">
        <v>25</v>
      </c>
      <c r="H131">
        <v>16227603890</v>
      </c>
      <c r="I131" s="1" t="s">
        <v>368</v>
      </c>
      <c r="J131" s="1" t="s">
        <v>27</v>
      </c>
      <c r="K131" s="1" t="s">
        <v>36</v>
      </c>
      <c r="L131" s="1" t="s">
        <v>25</v>
      </c>
      <c r="M131" s="1" t="str">
        <f>IF(LEFT(results_context_via_permalink_gpt_5_2025_08_07_with_justification_run1[[#This Row],[LLM_response]], 21)="CONTEXT_ACCESSED: yes","X","")</f>
        <v/>
      </c>
      <c r="N131" s="1" t="s">
        <v>25</v>
      </c>
      <c r="O131" s="1" t="s">
        <v>25</v>
      </c>
      <c r="P131" s="1" t="s">
        <v>25</v>
      </c>
      <c r="Q131" s="1" t="s">
        <v>897</v>
      </c>
      <c r="R131" s="1" t="s">
        <v>36</v>
      </c>
      <c r="S131" s="1" t="str">
        <f>IF(results_context_via_permalink_gpt_5_2025_08_07_with_justification_run1[[#This Row],[they_type]]=results_context_via_permalink_gpt_5_2025_08_07_with_justification_run1[[#This Row],[LLM_annotation]],"X","")</f>
        <v>X</v>
      </c>
      <c r="T131" s="1" t="s">
        <v>25</v>
      </c>
    </row>
    <row r="132" spans="1:20" x14ac:dyDescent="0.2">
      <c r="A132" s="1" t="s">
        <v>898</v>
      </c>
      <c r="B132" s="1" t="s">
        <v>899</v>
      </c>
      <c r="C132" s="1" t="s">
        <v>900</v>
      </c>
      <c r="D132" s="1" t="s">
        <v>901</v>
      </c>
      <c r="E132" s="1" t="s">
        <v>902</v>
      </c>
      <c r="F132" s="1" t="s">
        <v>903</v>
      </c>
      <c r="G132" s="1" t="s">
        <v>25</v>
      </c>
      <c r="H132">
        <v>16227638230</v>
      </c>
      <c r="I132" s="1" t="s">
        <v>368</v>
      </c>
      <c r="J132" s="1" t="s">
        <v>27</v>
      </c>
      <c r="K132" s="1" t="s">
        <v>28</v>
      </c>
      <c r="L132" s="1" t="s">
        <v>25</v>
      </c>
      <c r="M132" s="1" t="str">
        <f>IF(LEFT(results_context_via_permalink_gpt_5_2025_08_07_with_justification_run1[[#This Row],[LLM_response]], 21)="CONTEXT_ACCESSED: yes","X","")</f>
        <v/>
      </c>
      <c r="N132" s="1" t="s">
        <v>25</v>
      </c>
      <c r="O132" s="1" t="s">
        <v>25</v>
      </c>
      <c r="P132" s="1" t="s">
        <v>25</v>
      </c>
      <c r="Q132" s="1" t="s">
        <v>904</v>
      </c>
      <c r="R132" s="1" t="s">
        <v>131</v>
      </c>
      <c r="S132" s="1" t="str">
        <f>IF(results_context_via_permalink_gpt_5_2025_08_07_with_justification_run1[[#This Row],[they_type]]=results_context_via_permalink_gpt_5_2025_08_07_with_justification_run1[[#This Row],[LLM_annotation]],"X","")</f>
        <v/>
      </c>
      <c r="T132" s="1" t="s">
        <v>25</v>
      </c>
    </row>
    <row r="133" spans="1:20" x14ac:dyDescent="0.2">
      <c r="A133" s="1" t="s">
        <v>905</v>
      </c>
      <c r="B133" s="1" t="s">
        <v>906</v>
      </c>
      <c r="C133" s="1" t="s">
        <v>907</v>
      </c>
      <c r="D133" s="1" t="s">
        <v>908</v>
      </c>
      <c r="E133" s="1" t="s">
        <v>909</v>
      </c>
      <c r="F133" s="1" t="s">
        <v>910</v>
      </c>
      <c r="G133" s="1" t="s">
        <v>25</v>
      </c>
      <c r="H133">
        <v>16227640170</v>
      </c>
      <c r="I133" s="1" t="s">
        <v>427</v>
      </c>
      <c r="J133" s="1" t="s">
        <v>27</v>
      </c>
      <c r="K133" s="1" t="s">
        <v>131</v>
      </c>
      <c r="L133" s="1" t="s">
        <v>25</v>
      </c>
      <c r="M133" s="1" t="str">
        <f>IF(LEFT(results_context_via_permalink_gpt_5_2025_08_07_with_justification_run1[[#This Row],[LLM_response]], 21)="CONTEXT_ACCESSED: yes","X","")</f>
        <v/>
      </c>
      <c r="N133" s="1" t="s">
        <v>25</v>
      </c>
      <c r="O133" s="1" t="s">
        <v>25</v>
      </c>
      <c r="P133" s="1" t="s">
        <v>25</v>
      </c>
      <c r="Q133" s="1" t="s">
        <v>911</v>
      </c>
      <c r="R133" s="1" t="s">
        <v>131</v>
      </c>
      <c r="S133" s="1" t="str">
        <f>IF(results_context_via_permalink_gpt_5_2025_08_07_with_justification_run1[[#This Row],[they_type]]=results_context_via_permalink_gpt_5_2025_08_07_with_justification_run1[[#This Row],[LLM_annotation]],"X","")</f>
        <v>X</v>
      </c>
      <c r="T133" s="1" t="s">
        <v>25</v>
      </c>
    </row>
    <row r="134" spans="1:20" x14ac:dyDescent="0.2">
      <c r="A134" s="1" t="s">
        <v>912</v>
      </c>
      <c r="B134" s="1" t="s">
        <v>913</v>
      </c>
      <c r="C134" s="1" t="s">
        <v>914</v>
      </c>
      <c r="D134" s="1" t="s">
        <v>915</v>
      </c>
      <c r="E134" s="1" t="s">
        <v>916</v>
      </c>
      <c r="F134" s="1" t="s">
        <v>917</v>
      </c>
      <c r="G134" s="1" t="s">
        <v>25</v>
      </c>
      <c r="H134">
        <v>16227650590</v>
      </c>
      <c r="I134" s="1" t="s">
        <v>368</v>
      </c>
      <c r="J134" s="1" t="s">
        <v>27</v>
      </c>
      <c r="K134" s="1" t="s">
        <v>36</v>
      </c>
      <c r="L134" s="1" t="s">
        <v>25</v>
      </c>
      <c r="M134" s="1" t="str">
        <f>IF(LEFT(results_context_via_permalink_gpt_5_2025_08_07_with_justification_run1[[#This Row],[LLM_response]], 21)="CONTEXT_ACCESSED: yes","X","")</f>
        <v/>
      </c>
      <c r="N134" s="1" t="s">
        <v>25</v>
      </c>
      <c r="O134" s="1" t="s">
        <v>27</v>
      </c>
      <c r="P134" s="1" t="s">
        <v>25</v>
      </c>
      <c r="Q134" s="1" t="s">
        <v>918</v>
      </c>
      <c r="R134" s="1" t="s">
        <v>36</v>
      </c>
      <c r="S134" s="1" t="str">
        <f>IF(results_context_via_permalink_gpt_5_2025_08_07_with_justification_run1[[#This Row],[they_type]]=results_context_via_permalink_gpt_5_2025_08_07_with_justification_run1[[#This Row],[LLM_annotation]],"X","")</f>
        <v>X</v>
      </c>
      <c r="T134" s="1" t="s">
        <v>25</v>
      </c>
    </row>
    <row r="135" spans="1:20" x14ac:dyDescent="0.2">
      <c r="A135" s="1" t="s">
        <v>919</v>
      </c>
      <c r="B135" s="1" t="s">
        <v>920</v>
      </c>
      <c r="C135" s="1" t="s">
        <v>921</v>
      </c>
      <c r="D135" s="1" t="s">
        <v>922</v>
      </c>
      <c r="E135" s="1" t="s">
        <v>923</v>
      </c>
      <c r="F135" s="1" t="s">
        <v>924</v>
      </c>
      <c r="G135" s="1" t="s">
        <v>25</v>
      </c>
      <c r="H135">
        <v>16227660580</v>
      </c>
      <c r="I135" s="1" t="s">
        <v>427</v>
      </c>
      <c r="J135" s="1" t="s">
        <v>27</v>
      </c>
      <c r="K135" s="1" t="s">
        <v>28</v>
      </c>
      <c r="L135" s="1" t="s">
        <v>25</v>
      </c>
      <c r="M135" s="1" t="str">
        <f>IF(LEFT(results_context_via_permalink_gpt_5_2025_08_07_with_justification_run1[[#This Row],[LLM_response]], 21)="CONTEXT_ACCESSED: yes","X","")</f>
        <v/>
      </c>
      <c r="N135" s="1" t="s">
        <v>25</v>
      </c>
      <c r="O135" s="1" t="s">
        <v>25</v>
      </c>
      <c r="P135" s="1" t="s">
        <v>25</v>
      </c>
      <c r="Q135" s="1" t="s">
        <v>925</v>
      </c>
      <c r="R135" s="1" t="s">
        <v>28</v>
      </c>
      <c r="S135" s="1" t="str">
        <f>IF(results_context_via_permalink_gpt_5_2025_08_07_with_justification_run1[[#This Row],[they_type]]=results_context_via_permalink_gpt_5_2025_08_07_with_justification_run1[[#This Row],[LLM_annotation]],"X","")</f>
        <v>X</v>
      </c>
      <c r="T135" s="1" t="s">
        <v>25</v>
      </c>
    </row>
    <row r="136" spans="1:20" x14ac:dyDescent="0.2">
      <c r="A136" s="1" t="s">
        <v>926</v>
      </c>
      <c r="B136" s="1" t="s">
        <v>927</v>
      </c>
      <c r="C136" s="1" t="s">
        <v>928</v>
      </c>
      <c r="D136" s="1" t="s">
        <v>929</v>
      </c>
      <c r="E136" s="1" t="s">
        <v>930</v>
      </c>
      <c r="F136" s="1" t="s">
        <v>931</v>
      </c>
      <c r="G136" s="1" t="s">
        <v>25</v>
      </c>
      <c r="H136">
        <v>16227661650</v>
      </c>
      <c r="I136" s="1" t="s">
        <v>368</v>
      </c>
      <c r="J136" s="1" t="s">
        <v>27</v>
      </c>
      <c r="K136" s="1" t="s">
        <v>28</v>
      </c>
      <c r="L136" s="1" t="s">
        <v>25</v>
      </c>
      <c r="M136" s="1" t="str">
        <f>IF(LEFT(results_context_via_permalink_gpt_5_2025_08_07_with_justification_run1[[#This Row],[LLM_response]], 21)="CONTEXT_ACCESSED: yes","X","")</f>
        <v/>
      </c>
      <c r="N136" s="1" t="s">
        <v>25</v>
      </c>
      <c r="O136" s="1" t="s">
        <v>25</v>
      </c>
      <c r="P136" s="1" t="s">
        <v>25</v>
      </c>
      <c r="Q136" s="1" t="s">
        <v>932</v>
      </c>
      <c r="R136" s="1" t="s">
        <v>131</v>
      </c>
      <c r="S136" s="1" t="str">
        <f>IF(results_context_via_permalink_gpt_5_2025_08_07_with_justification_run1[[#This Row],[they_type]]=results_context_via_permalink_gpt_5_2025_08_07_with_justification_run1[[#This Row],[LLM_annotation]],"X","")</f>
        <v/>
      </c>
      <c r="T136" s="1" t="s">
        <v>25</v>
      </c>
    </row>
    <row r="137" spans="1:20" x14ac:dyDescent="0.2">
      <c r="A137" s="1" t="s">
        <v>933</v>
      </c>
      <c r="B137" s="1" t="s">
        <v>934</v>
      </c>
      <c r="C137" s="1" t="s">
        <v>935</v>
      </c>
      <c r="D137" s="1" t="s">
        <v>936</v>
      </c>
      <c r="E137" s="1" t="s">
        <v>937</v>
      </c>
      <c r="F137" s="1" t="s">
        <v>938</v>
      </c>
      <c r="G137" s="1" t="s">
        <v>25</v>
      </c>
      <c r="H137">
        <v>16227718030</v>
      </c>
      <c r="I137" s="1" t="s">
        <v>450</v>
      </c>
      <c r="J137" s="1" t="s">
        <v>27</v>
      </c>
      <c r="K137" s="1" t="s">
        <v>131</v>
      </c>
      <c r="L137" s="1" t="s">
        <v>27</v>
      </c>
      <c r="M137" s="1" t="str">
        <f>IF(LEFT(results_context_via_permalink_gpt_5_2025_08_07_with_justification_run1[[#This Row],[LLM_response]], 21)="CONTEXT_ACCESSED: yes","X","")</f>
        <v/>
      </c>
      <c r="N137" s="1" t="s">
        <v>25</v>
      </c>
      <c r="O137" s="1" t="s">
        <v>25</v>
      </c>
      <c r="P137" s="1" t="s">
        <v>27</v>
      </c>
      <c r="Q137" s="1" t="s">
        <v>939</v>
      </c>
      <c r="R137" s="1" t="s">
        <v>131</v>
      </c>
      <c r="S137" s="1" t="str">
        <f>IF(results_context_via_permalink_gpt_5_2025_08_07_with_justification_run1[[#This Row],[they_type]]=results_context_via_permalink_gpt_5_2025_08_07_with_justification_run1[[#This Row],[LLM_annotation]],"X","")</f>
        <v>X</v>
      </c>
      <c r="T137" s="1" t="s">
        <v>25</v>
      </c>
    </row>
    <row r="138" spans="1:20" x14ac:dyDescent="0.2">
      <c r="A138" s="1" t="s">
        <v>940</v>
      </c>
      <c r="B138" s="1" t="s">
        <v>941</v>
      </c>
      <c r="C138" s="1" t="s">
        <v>942</v>
      </c>
      <c r="D138" s="1" t="s">
        <v>943</v>
      </c>
      <c r="E138" s="1" t="s">
        <v>944</v>
      </c>
      <c r="F138" s="1" t="s">
        <v>945</v>
      </c>
      <c r="G138" s="1" t="s">
        <v>25</v>
      </c>
      <c r="H138">
        <v>16227752300</v>
      </c>
      <c r="I138" s="1" t="s">
        <v>368</v>
      </c>
      <c r="J138" s="1" t="s">
        <v>27</v>
      </c>
      <c r="K138" s="1" t="s">
        <v>131</v>
      </c>
      <c r="L138" s="1" t="s">
        <v>27</v>
      </c>
      <c r="M138" s="1" t="str">
        <f>IF(LEFT(results_context_via_permalink_gpt_5_2025_08_07_with_justification_run1[[#This Row],[LLM_response]], 21)="CONTEXT_ACCESSED: yes","X","")</f>
        <v/>
      </c>
      <c r="N138" s="1" t="s">
        <v>25</v>
      </c>
      <c r="O138" s="1" t="s">
        <v>25</v>
      </c>
      <c r="P138" s="1" t="s">
        <v>27</v>
      </c>
      <c r="Q138" s="1" t="s">
        <v>946</v>
      </c>
      <c r="R138" s="1" t="s">
        <v>131</v>
      </c>
      <c r="S138" s="1" t="str">
        <f>IF(results_context_via_permalink_gpt_5_2025_08_07_with_justification_run1[[#This Row],[they_type]]=results_context_via_permalink_gpt_5_2025_08_07_with_justification_run1[[#This Row],[LLM_annotation]],"X","")</f>
        <v>X</v>
      </c>
      <c r="T138" s="1" t="s">
        <v>25</v>
      </c>
    </row>
    <row r="139" spans="1:20" x14ac:dyDescent="0.2">
      <c r="A139" s="1" t="s">
        <v>947</v>
      </c>
      <c r="B139" s="1" t="s">
        <v>948</v>
      </c>
      <c r="C139" s="1" t="s">
        <v>949</v>
      </c>
      <c r="D139" s="1" t="s">
        <v>950</v>
      </c>
      <c r="E139" s="1" t="s">
        <v>951</v>
      </c>
      <c r="F139" s="1" t="s">
        <v>952</v>
      </c>
      <c r="G139" s="1" t="s">
        <v>25</v>
      </c>
      <c r="H139">
        <v>16227850140</v>
      </c>
      <c r="I139" s="1" t="s">
        <v>368</v>
      </c>
      <c r="J139" s="1" t="s">
        <v>27</v>
      </c>
      <c r="K139" s="1" t="s">
        <v>36</v>
      </c>
      <c r="L139" s="1" t="s">
        <v>25</v>
      </c>
      <c r="M139" s="1" t="str">
        <f>IF(LEFT(results_context_via_permalink_gpt_5_2025_08_07_with_justification_run1[[#This Row],[LLM_response]], 21)="CONTEXT_ACCESSED: yes","X","")</f>
        <v/>
      </c>
      <c r="N139" s="1" t="s">
        <v>25</v>
      </c>
      <c r="O139" s="1" t="s">
        <v>25</v>
      </c>
      <c r="P139" s="1" t="s">
        <v>25</v>
      </c>
      <c r="Q139" s="1" t="s">
        <v>953</v>
      </c>
      <c r="R139" s="1" t="s">
        <v>36</v>
      </c>
      <c r="S139" s="1" t="str">
        <f>IF(results_context_via_permalink_gpt_5_2025_08_07_with_justification_run1[[#This Row],[they_type]]=results_context_via_permalink_gpt_5_2025_08_07_with_justification_run1[[#This Row],[LLM_annotation]],"X","")</f>
        <v>X</v>
      </c>
      <c r="T139" s="1" t="s">
        <v>25</v>
      </c>
    </row>
    <row r="140" spans="1:20" x14ac:dyDescent="0.2">
      <c r="A140" s="1" t="s">
        <v>954</v>
      </c>
      <c r="B140" s="1" t="s">
        <v>955</v>
      </c>
      <c r="C140" s="1" t="s">
        <v>956</v>
      </c>
      <c r="D140" s="1" t="s">
        <v>957</v>
      </c>
      <c r="E140" s="1" t="s">
        <v>958</v>
      </c>
      <c r="F140" s="1" t="s">
        <v>959</v>
      </c>
      <c r="G140" s="1" t="s">
        <v>25</v>
      </c>
      <c r="H140">
        <v>16227907560</v>
      </c>
      <c r="I140" s="1" t="s">
        <v>368</v>
      </c>
      <c r="J140" s="1" t="s">
        <v>27</v>
      </c>
      <c r="K140" s="1" t="s">
        <v>131</v>
      </c>
      <c r="L140" s="1" t="s">
        <v>27</v>
      </c>
      <c r="M140" s="1" t="str">
        <f>IF(LEFT(results_context_via_permalink_gpt_5_2025_08_07_with_justification_run1[[#This Row],[LLM_response]], 21)="CONTEXT_ACCESSED: yes","X","")</f>
        <v>X</v>
      </c>
      <c r="N140" s="1" t="s">
        <v>25</v>
      </c>
      <c r="O140" s="1" t="s">
        <v>25</v>
      </c>
      <c r="P140" s="1" t="s">
        <v>27</v>
      </c>
      <c r="Q140" s="1" t="s">
        <v>960</v>
      </c>
      <c r="R140" s="1" t="s">
        <v>131</v>
      </c>
      <c r="S140" s="1" t="str">
        <f>IF(results_context_via_permalink_gpt_5_2025_08_07_with_justification_run1[[#This Row],[they_type]]=results_context_via_permalink_gpt_5_2025_08_07_with_justification_run1[[#This Row],[LLM_annotation]],"X","")</f>
        <v>X</v>
      </c>
      <c r="T140" s="1" t="s">
        <v>25</v>
      </c>
    </row>
    <row r="141" spans="1:20" x14ac:dyDescent="0.2">
      <c r="A141" s="1" t="s">
        <v>961</v>
      </c>
      <c r="B141" s="1" t="s">
        <v>962</v>
      </c>
      <c r="C141" s="1" t="s">
        <v>963</v>
      </c>
      <c r="D141" s="1" t="s">
        <v>964</v>
      </c>
      <c r="E141" s="1" t="s">
        <v>965</v>
      </c>
      <c r="F141" s="1" t="s">
        <v>966</v>
      </c>
      <c r="G141" s="1" t="s">
        <v>25</v>
      </c>
      <c r="H141">
        <v>16227926780</v>
      </c>
      <c r="I141" s="1" t="s">
        <v>368</v>
      </c>
      <c r="J141" s="1" t="s">
        <v>27</v>
      </c>
      <c r="K141" s="1" t="s">
        <v>36</v>
      </c>
      <c r="L141" s="1" t="s">
        <v>27</v>
      </c>
      <c r="M141" s="1" t="str">
        <f>IF(LEFT(results_context_via_permalink_gpt_5_2025_08_07_with_justification_run1[[#This Row],[LLM_response]], 21)="CONTEXT_ACCESSED: yes","X","")</f>
        <v/>
      </c>
      <c r="N141" s="1" t="s">
        <v>25</v>
      </c>
      <c r="O141" s="1" t="s">
        <v>25</v>
      </c>
      <c r="P141" s="1" t="s">
        <v>27</v>
      </c>
      <c r="Q141" s="1" t="s">
        <v>967</v>
      </c>
      <c r="R141" s="1" t="s">
        <v>28</v>
      </c>
      <c r="S141" s="1" t="str">
        <f>IF(results_context_via_permalink_gpt_5_2025_08_07_with_justification_run1[[#This Row],[they_type]]=results_context_via_permalink_gpt_5_2025_08_07_with_justification_run1[[#This Row],[LLM_annotation]],"X","")</f>
        <v/>
      </c>
      <c r="T141" s="1" t="s">
        <v>25</v>
      </c>
    </row>
    <row r="142" spans="1:20" x14ac:dyDescent="0.2">
      <c r="A142" s="1" t="s">
        <v>968</v>
      </c>
      <c r="B142" s="1" t="s">
        <v>969</v>
      </c>
      <c r="C142" s="1" t="s">
        <v>970</v>
      </c>
      <c r="D142" s="1" t="s">
        <v>971</v>
      </c>
      <c r="E142" s="1" t="s">
        <v>972</v>
      </c>
      <c r="F142" s="1" t="s">
        <v>973</v>
      </c>
      <c r="G142" s="1" t="s">
        <v>25</v>
      </c>
      <c r="H142">
        <v>16227991320</v>
      </c>
      <c r="I142" s="1" t="s">
        <v>404</v>
      </c>
      <c r="J142" s="1" t="s">
        <v>27</v>
      </c>
      <c r="K142" s="1" t="s">
        <v>131</v>
      </c>
      <c r="L142" s="1" t="s">
        <v>25</v>
      </c>
      <c r="M142" s="1" t="str">
        <f>IF(LEFT(results_context_via_permalink_gpt_5_2025_08_07_with_justification_run1[[#This Row],[LLM_response]], 21)="CONTEXT_ACCESSED: yes","X","")</f>
        <v/>
      </c>
      <c r="N142" s="1" t="s">
        <v>25</v>
      </c>
      <c r="O142" s="1" t="s">
        <v>25</v>
      </c>
      <c r="P142" s="1" t="s">
        <v>25</v>
      </c>
      <c r="Q142" s="1" t="s">
        <v>974</v>
      </c>
      <c r="R142" s="1" t="s">
        <v>131</v>
      </c>
      <c r="S142" s="1" t="str">
        <f>IF(results_context_via_permalink_gpt_5_2025_08_07_with_justification_run1[[#This Row],[they_type]]=results_context_via_permalink_gpt_5_2025_08_07_with_justification_run1[[#This Row],[LLM_annotation]],"X","")</f>
        <v>X</v>
      </c>
      <c r="T142" s="1" t="s">
        <v>25</v>
      </c>
    </row>
    <row r="143" spans="1:20" x14ac:dyDescent="0.2">
      <c r="A143" s="1" t="s">
        <v>975</v>
      </c>
      <c r="B143" s="1" t="s">
        <v>976</v>
      </c>
      <c r="C143" s="1" t="s">
        <v>977</v>
      </c>
      <c r="D143" s="1" t="s">
        <v>978</v>
      </c>
      <c r="E143" s="1" t="s">
        <v>979</v>
      </c>
      <c r="F143" s="1" t="s">
        <v>980</v>
      </c>
      <c r="G143" s="1" t="s">
        <v>25</v>
      </c>
      <c r="H143">
        <v>16228061040</v>
      </c>
      <c r="I143" s="1" t="s">
        <v>450</v>
      </c>
      <c r="J143" s="1" t="s">
        <v>27</v>
      </c>
      <c r="K143" s="1" t="s">
        <v>131</v>
      </c>
      <c r="L143" s="1" t="s">
        <v>25</v>
      </c>
      <c r="M143" s="1" t="str">
        <f>IF(LEFT(results_context_via_permalink_gpt_5_2025_08_07_with_justification_run1[[#This Row],[LLM_response]], 21)="CONTEXT_ACCESSED: yes","X","")</f>
        <v/>
      </c>
      <c r="N143" s="1" t="s">
        <v>25</v>
      </c>
      <c r="O143" s="1" t="s">
        <v>25</v>
      </c>
      <c r="P143" s="1" t="s">
        <v>25</v>
      </c>
      <c r="Q143" s="1" t="s">
        <v>981</v>
      </c>
      <c r="R143" s="1" t="s">
        <v>131</v>
      </c>
      <c r="S143" s="1" t="str">
        <f>IF(results_context_via_permalink_gpt_5_2025_08_07_with_justification_run1[[#This Row],[they_type]]=results_context_via_permalink_gpt_5_2025_08_07_with_justification_run1[[#This Row],[LLM_annotation]],"X","")</f>
        <v>X</v>
      </c>
      <c r="T143" s="1" t="s">
        <v>25</v>
      </c>
    </row>
    <row r="144" spans="1:20" x14ac:dyDescent="0.2">
      <c r="A144" s="1" t="s">
        <v>982</v>
      </c>
      <c r="B144" s="1" t="s">
        <v>983</v>
      </c>
      <c r="C144" s="1" t="s">
        <v>984</v>
      </c>
      <c r="D144" s="1" t="s">
        <v>985</v>
      </c>
      <c r="E144" s="1" t="s">
        <v>986</v>
      </c>
      <c r="F144" s="1" t="s">
        <v>987</v>
      </c>
      <c r="G144" s="1" t="s">
        <v>25</v>
      </c>
      <c r="H144">
        <v>16228098850</v>
      </c>
      <c r="I144" s="1" t="s">
        <v>368</v>
      </c>
      <c r="J144" s="1" t="s">
        <v>27</v>
      </c>
      <c r="K144" s="1" t="s">
        <v>28</v>
      </c>
      <c r="L144" s="1" t="s">
        <v>25</v>
      </c>
      <c r="M144" s="1" t="str">
        <f>IF(LEFT(results_context_via_permalink_gpt_5_2025_08_07_with_justification_run1[[#This Row],[LLM_response]], 21)="CONTEXT_ACCESSED: yes","X","")</f>
        <v/>
      </c>
      <c r="N144" s="1" t="s">
        <v>25</v>
      </c>
      <c r="O144" s="1" t="s">
        <v>25</v>
      </c>
      <c r="P144" s="1" t="s">
        <v>25</v>
      </c>
      <c r="Q144" s="1" t="s">
        <v>988</v>
      </c>
      <c r="R144" s="1" t="s">
        <v>28</v>
      </c>
      <c r="S144" s="1" t="str">
        <f>IF(results_context_via_permalink_gpt_5_2025_08_07_with_justification_run1[[#This Row],[they_type]]=results_context_via_permalink_gpt_5_2025_08_07_with_justification_run1[[#This Row],[LLM_annotation]],"X","")</f>
        <v>X</v>
      </c>
      <c r="T144" s="1" t="s">
        <v>25</v>
      </c>
    </row>
    <row r="145" spans="1:20" x14ac:dyDescent="0.2">
      <c r="A145" s="1" t="s">
        <v>989</v>
      </c>
      <c r="B145" s="1" t="s">
        <v>990</v>
      </c>
      <c r="C145" s="1" t="s">
        <v>991</v>
      </c>
      <c r="D145" s="1" t="s">
        <v>992</v>
      </c>
      <c r="E145" s="1" t="s">
        <v>993</v>
      </c>
      <c r="F145" s="1" t="s">
        <v>994</v>
      </c>
      <c r="G145" s="1" t="s">
        <v>25</v>
      </c>
      <c r="H145">
        <v>16228115440</v>
      </c>
      <c r="I145" s="1" t="s">
        <v>404</v>
      </c>
      <c r="J145" s="1" t="s">
        <v>27</v>
      </c>
      <c r="K145" s="1" t="s">
        <v>131</v>
      </c>
      <c r="L145" s="1" t="s">
        <v>25</v>
      </c>
      <c r="M145" s="1" t="str">
        <f>IF(LEFT(results_context_via_permalink_gpt_5_2025_08_07_with_justification_run1[[#This Row],[LLM_response]], 21)="CONTEXT_ACCESSED: yes","X","")</f>
        <v/>
      </c>
      <c r="N145" s="1" t="s">
        <v>25</v>
      </c>
      <c r="O145" s="1" t="s">
        <v>25</v>
      </c>
      <c r="P145" s="1" t="s">
        <v>25</v>
      </c>
      <c r="Q145" s="1" t="s">
        <v>995</v>
      </c>
      <c r="R145" s="1" t="s">
        <v>131</v>
      </c>
      <c r="S145" s="1" t="str">
        <f>IF(results_context_via_permalink_gpt_5_2025_08_07_with_justification_run1[[#This Row],[they_type]]=results_context_via_permalink_gpt_5_2025_08_07_with_justification_run1[[#This Row],[LLM_annotation]],"X","")</f>
        <v>X</v>
      </c>
      <c r="T145" s="1" t="s">
        <v>25</v>
      </c>
    </row>
    <row r="146" spans="1:20" x14ac:dyDescent="0.2">
      <c r="A146" s="1" t="s">
        <v>996</v>
      </c>
      <c r="B146" s="1" t="s">
        <v>997</v>
      </c>
      <c r="C146" s="1" t="s">
        <v>998</v>
      </c>
      <c r="D146" s="1" t="s">
        <v>999</v>
      </c>
      <c r="E146" s="1" t="s">
        <v>1000</v>
      </c>
      <c r="F146" s="1" t="s">
        <v>1001</v>
      </c>
      <c r="G146" s="1" t="s">
        <v>25</v>
      </c>
      <c r="H146">
        <v>16228145460</v>
      </c>
      <c r="I146" s="1" t="s">
        <v>1002</v>
      </c>
      <c r="J146" s="1" t="s">
        <v>27</v>
      </c>
      <c r="K146" s="1" t="s">
        <v>28</v>
      </c>
      <c r="L146" s="1" t="s">
        <v>25</v>
      </c>
      <c r="M146" s="1" t="str">
        <f>IF(LEFT(results_context_via_permalink_gpt_5_2025_08_07_with_justification_run1[[#This Row],[LLM_response]], 21)="CONTEXT_ACCESSED: yes","X","")</f>
        <v/>
      </c>
      <c r="N146" s="1" t="s">
        <v>25</v>
      </c>
      <c r="O146" s="1" t="s">
        <v>25</v>
      </c>
      <c r="P146" s="1" t="s">
        <v>25</v>
      </c>
      <c r="Q146" s="1" t="s">
        <v>1003</v>
      </c>
      <c r="R146" s="1" t="s">
        <v>28</v>
      </c>
      <c r="S146" s="1" t="str">
        <f>IF(results_context_via_permalink_gpt_5_2025_08_07_with_justification_run1[[#This Row],[they_type]]=results_context_via_permalink_gpt_5_2025_08_07_with_justification_run1[[#This Row],[LLM_annotation]],"X","")</f>
        <v>X</v>
      </c>
      <c r="T146" s="1" t="s">
        <v>25</v>
      </c>
    </row>
    <row r="147" spans="1:20" x14ac:dyDescent="0.2">
      <c r="A147" s="1" t="s">
        <v>1004</v>
      </c>
      <c r="B147" s="1" t="s">
        <v>1005</v>
      </c>
      <c r="C147" s="1" t="s">
        <v>1006</v>
      </c>
      <c r="D147" s="1" t="s">
        <v>1007</v>
      </c>
      <c r="E147" s="1" t="s">
        <v>577</v>
      </c>
      <c r="F147" s="1" t="s">
        <v>1008</v>
      </c>
      <c r="G147" s="1" t="s">
        <v>25</v>
      </c>
      <c r="H147">
        <v>16228156260</v>
      </c>
      <c r="I147" s="1" t="s">
        <v>450</v>
      </c>
      <c r="J147" s="1" t="s">
        <v>27</v>
      </c>
      <c r="K147" s="1" t="s">
        <v>36</v>
      </c>
      <c r="L147" s="1" t="s">
        <v>25</v>
      </c>
      <c r="M147" s="1" t="str">
        <f>IF(LEFT(results_context_via_permalink_gpt_5_2025_08_07_with_justification_run1[[#This Row],[LLM_response]], 21)="CONTEXT_ACCESSED: yes","X","")</f>
        <v/>
      </c>
      <c r="N147" s="1" t="s">
        <v>25</v>
      </c>
      <c r="O147" s="1" t="s">
        <v>25</v>
      </c>
      <c r="P147" s="1" t="s">
        <v>25</v>
      </c>
      <c r="Q147" s="1" t="s">
        <v>1009</v>
      </c>
      <c r="R147" s="1" t="s">
        <v>36</v>
      </c>
      <c r="S147" s="1" t="str">
        <f>IF(results_context_via_permalink_gpt_5_2025_08_07_with_justification_run1[[#This Row],[they_type]]=results_context_via_permalink_gpt_5_2025_08_07_with_justification_run1[[#This Row],[LLM_annotation]],"X","")</f>
        <v>X</v>
      </c>
      <c r="T147" s="1" t="s">
        <v>25</v>
      </c>
    </row>
    <row r="148" spans="1:20" x14ac:dyDescent="0.2">
      <c r="A148" s="1" t="s">
        <v>1010</v>
      </c>
      <c r="B148" s="1" t="s">
        <v>1011</v>
      </c>
      <c r="C148" s="1" t="s">
        <v>1012</v>
      </c>
      <c r="D148" s="1" t="s">
        <v>1013</v>
      </c>
      <c r="E148" s="1" t="s">
        <v>1014</v>
      </c>
      <c r="F148" s="1" t="s">
        <v>1015</v>
      </c>
      <c r="G148" s="1" t="s">
        <v>25</v>
      </c>
      <c r="H148">
        <v>16225498730</v>
      </c>
      <c r="I148" s="1" t="s">
        <v>450</v>
      </c>
      <c r="J148" s="1" t="s">
        <v>27</v>
      </c>
      <c r="K148" s="1" t="s">
        <v>36</v>
      </c>
      <c r="L148" s="1" t="s">
        <v>25</v>
      </c>
      <c r="M148" s="1" t="str">
        <f>IF(LEFT(results_context_via_permalink_gpt_5_2025_08_07_with_justification_run1[[#This Row],[LLM_response]], 21)="CONTEXT_ACCESSED: yes","X","")</f>
        <v/>
      </c>
      <c r="N148" s="1" t="s">
        <v>25</v>
      </c>
      <c r="O148" s="1" t="s">
        <v>25</v>
      </c>
      <c r="P148" s="1" t="s">
        <v>25</v>
      </c>
      <c r="Q148" s="1" t="s">
        <v>1016</v>
      </c>
      <c r="R148" s="1" t="s">
        <v>36</v>
      </c>
      <c r="S148" s="1" t="str">
        <f>IF(results_context_via_permalink_gpt_5_2025_08_07_with_justification_run1[[#This Row],[they_type]]=results_context_via_permalink_gpt_5_2025_08_07_with_justification_run1[[#This Row],[LLM_annotation]],"X","")</f>
        <v>X</v>
      </c>
      <c r="T148" s="1" t="s">
        <v>25</v>
      </c>
    </row>
    <row r="149" spans="1:20" x14ac:dyDescent="0.2">
      <c r="A149" s="1" t="s">
        <v>1017</v>
      </c>
      <c r="B149" s="1" t="s">
        <v>1018</v>
      </c>
      <c r="C149" s="1" t="s">
        <v>1019</v>
      </c>
      <c r="D149" s="1" t="s">
        <v>1020</v>
      </c>
      <c r="E149" s="1" t="s">
        <v>1021</v>
      </c>
      <c r="F149" s="1" t="s">
        <v>1022</v>
      </c>
      <c r="G149" s="1" t="s">
        <v>1023</v>
      </c>
      <c r="H149">
        <v>16228367000</v>
      </c>
      <c r="I149" s="1" t="s">
        <v>450</v>
      </c>
      <c r="J149" s="1" t="s">
        <v>27</v>
      </c>
      <c r="K149" s="1" t="s">
        <v>131</v>
      </c>
      <c r="L149" s="1" t="s">
        <v>25</v>
      </c>
      <c r="M149" s="1" t="str">
        <f>IF(LEFT(results_context_via_permalink_gpt_5_2025_08_07_with_justification_run1[[#This Row],[LLM_response]], 21)="CONTEXT_ACCESSED: yes","X","")</f>
        <v/>
      </c>
      <c r="N149" s="1" t="s">
        <v>25</v>
      </c>
      <c r="O149" s="1" t="s">
        <v>25</v>
      </c>
      <c r="P149" s="1" t="s">
        <v>25</v>
      </c>
      <c r="Q149" s="1" t="s">
        <v>1024</v>
      </c>
      <c r="R149" s="1" t="s">
        <v>131</v>
      </c>
      <c r="S149" s="1" t="str">
        <f>IF(results_context_via_permalink_gpt_5_2025_08_07_with_justification_run1[[#This Row],[they_type]]=results_context_via_permalink_gpt_5_2025_08_07_with_justification_run1[[#This Row],[LLM_annotation]],"X","")</f>
        <v>X</v>
      </c>
      <c r="T149" s="1" t="s">
        <v>25</v>
      </c>
    </row>
    <row r="150" spans="1:20" x14ac:dyDescent="0.2">
      <c r="A150" s="1" t="s">
        <v>1025</v>
      </c>
      <c r="B150" s="1" t="s">
        <v>1026</v>
      </c>
      <c r="C150" s="1" t="s">
        <v>1027</v>
      </c>
      <c r="D150" s="1" t="s">
        <v>1028</v>
      </c>
      <c r="E150" s="1" t="s">
        <v>1029</v>
      </c>
      <c r="F150" s="1" t="s">
        <v>1030</v>
      </c>
      <c r="G150" s="1" t="s">
        <v>1031</v>
      </c>
      <c r="H150">
        <v>15698892440</v>
      </c>
      <c r="I150" s="1" t="s">
        <v>471</v>
      </c>
      <c r="J150" s="1" t="s">
        <v>27</v>
      </c>
      <c r="K150" s="1" t="s">
        <v>131</v>
      </c>
      <c r="L150" s="1" t="s">
        <v>25</v>
      </c>
      <c r="M150" s="1" t="str">
        <f>IF(LEFT(results_context_via_permalink_gpt_5_2025_08_07_with_justification_run1[[#This Row],[LLM_response]], 21)="CONTEXT_ACCESSED: yes","X","")</f>
        <v/>
      </c>
      <c r="N150" s="1" t="s">
        <v>25</v>
      </c>
      <c r="O150" s="1" t="s">
        <v>25</v>
      </c>
      <c r="P150" s="1" t="s">
        <v>25</v>
      </c>
      <c r="Q150" s="1" t="s">
        <v>1032</v>
      </c>
      <c r="R150" s="1" t="s">
        <v>131</v>
      </c>
      <c r="S150" s="1" t="str">
        <f>IF(results_context_via_permalink_gpt_5_2025_08_07_with_justification_run1[[#This Row],[they_type]]=results_context_via_permalink_gpt_5_2025_08_07_with_justification_run1[[#This Row],[LLM_annotation]],"X","")</f>
        <v>X</v>
      </c>
      <c r="T150" s="1" t="s">
        <v>25</v>
      </c>
    </row>
    <row r="151" spans="1:20" x14ac:dyDescent="0.2">
      <c r="A151" s="1" t="s">
        <v>1033</v>
      </c>
      <c r="B151" s="1" t="s">
        <v>1034</v>
      </c>
      <c r="C151" s="1" t="s">
        <v>1035</v>
      </c>
      <c r="D151" s="1" t="s">
        <v>1036</v>
      </c>
      <c r="E151" s="1" t="s">
        <v>1037</v>
      </c>
      <c r="F151" s="1" t="s">
        <v>1038</v>
      </c>
      <c r="G151" s="1" t="s">
        <v>25</v>
      </c>
      <c r="H151">
        <v>16225513190</v>
      </c>
      <c r="I151" s="1" t="s">
        <v>368</v>
      </c>
      <c r="J151" s="1" t="s">
        <v>27</v>
      </c>
      <c r="K151" s="1" t="s">
        <v>36</v>
      </c>
      <c r="L151" s="1" t="s">
        <v>25</v>
      </c>
      <c r="M151" s="1" t="str">
        <f>IF(LEFT(results_context_via_permalink_gpt_5_2025_08_07_with_justification_run1[[#This Row],[LLM_response]], 21)="CONTEXT_ACCESSED: yes","X","")</f>
        <v/>
      </c>
      <c r="N151" s="1" t="s">
        <v>25</v>
      </c>
      <c r="O151" s="1" t="s">
        <v>25</v>
      </c>
      <c r="P151" s="1" t="s">
        <v>25</v>
      </c>
      <c r="Q151" s="1" t="s">
        <v>1039</v>
      </c>
      <c r="R151" s="1" t="s">
        <v>36</v>
      </c>
      <c r="S151" s="1" t="str">
        <f>IF(results_context_via_permalink_gpt_5_2025_08_07_with_justification_run1[[#This Row],[they_type]]=results_context_via_permalink_gpt_5_2025_08_07_with_justification_run1[[#This Row],[LLM_annotation]],"X","")</f>
        <v>X</v>
      </c>
      <c r="T151" s="1" t="s">
        <v>25</v>
      </c>
    </row>
    <row r="152" spans="1:20" x14ac:dyDescent="0.2">
      <c r="A152" s="1" t="s">
        <v>1040</v>
      </c>
      <c r="B152" s="1" t="s">
        <v>1041</v>
      </c>
      <c r="C152" s="1" t="s">
        <v>1042</v>
      </c>
      <c r="D152" s="1" t="s">
        <v>1043</v>
      </c>
      <c r="E152" s="1" t="s">
        <v>1044</v>
      </c>
      <c r="F152" s="1" t="s">
        <v>1045</v>
      </c>
      <c r="G152" s="1" t="s">
        <v>25</v>
      </c>
      <c r="H152">
        <v>16228454490</v>
      </c>
      <c r="I152" s="1" t="s">
        <v>450</v>
      </c>
      <c r="J152" s="1" t="s">
        <v>27</v>
      </c>
      <c r="K152" s="1" t="s">
        <v>36</v>
      </c>
      <c r="L152" s="1" t="s">
        <v>25</v>
      </c>
      <c r="M152" s="1" t="str">
        <f>IF(LEFT(results_context_via_permalink_gpt_5_2025_08_07_with_justification_run1[[#This Row],[LLM_response]], 21)="CONTEXT_ACCESSED: yes","X","")</f>
        <v/>
      </c>
      <c r="N152" s="1" t="s">
        <v>25</v>
      </c>
      <c r="O152" s="1" t="s">
        <v>25</v>
      </c>
      <c r="P152" s="1" t="s">
        <v>25</v>
      </c>
      <c r="Q152" s="1" t="s">
        <v>1046</v>
      </c>
      <c r="R152" s="1" t="s">
        <v>36</v>
      </c>
      <c r="S152" s="1" t="str">
        <f>IF(results_context_via_permalink_gpt_5_2025_08_07_with_justification_run1[[#This Row],[they_type]]=results_context_via_permalink_gpt_5_2025_08_07_with_justification_run1[[#This Row],[LLM_annotation]],"X","")</f>
        <v>X</v>
      </c>
      <c r="T152" s="1" t="s">
        <v>25</v>
      </c>
    </row>
    <row r="153" spans="1:20" x14ac:dyDescent="0.2">
      <c r="A153" s="1" t="s">
        <v>1047</v>
      </c>
      <c r="B153" s="1" t="s">
        <v>1048</v>
      </c>
      <c r="C153" s="1" t="s">
        <v>1049</v>
      </c>
      <c r="D153" s="1" t="s">
        <v>1050</v>
      </c>
      <c r="E153" s="1" t="s">
        <v>1051</v>
      </c>
      <c r="F153" s="1" t="s">
        <v>1052</v>
      </c>
      <c r="G153" s="1" t="s">
        <v>1053</v>
      </c>
      <c r="H153">
        <v>15698893190</v>
      </c>
      <c r="I153" s="1" t="s">
        <v>615</v>
      </c>
      <c r="J153" s="1" t="s">
        <v>27</v>
      </c>
      <c r="K153" s="1" t="s">
        <v>36</v>
      </c>
      <c r="L153" s="1" t="s">
        <v>25</v>
      </c>
      <c r="M153" s="1" t="str">
        <f>IF(LEFT(results_context_via_permalink_gpt_5_2025_08_07_with_justification_run1[[#This Row],[LLM_response]], 21)="CONTEXT_ACCESSED: yes","X","")</f>
        <v/>
      </c>
      <c r="N153" s="1" t="s">
        <v>25</v>
      </c>
      <c r="O153" s="1" t="s">
        <v>25</v>
      </c>
      <c r="P153" s="1" t="s">
        <v>25</v>
      </c>
      <c r="Q153" s="1" t="s">
        <v>1054</v>
      </c>
      <c r="R153" s="1" t="s">
        <v>36</v>
      </c>
      <c r="S153" s="1" t="str">
        <f>IF(results_context_via_permalink_gpt_5_2025_08_07_with_justification_run1[[#This Row],[they_type]]=results_context_via_permalink_gpt_5_2025_08_07_with_justification_run1[[#This Row],[LLM_annotation]],"X","")</f>
        <v>X</v>
      </c>
      <c r="T153" s="1" t="s">
        <v>25</v>
      </c>
    </row>
    <row r="154" spans="1:20" x14ac:dyDescent="0.2">
      <c r="A154" s="1" t="s">
        <v>1055</v>
      </c>
      <c r="B154" s="1" t="s">
        <v>1056</v>
      </c>
      <c r="C154" s="1" t="s">
        <v>1057</v>
      </c>
      <c r="D154" s="1" t="s">
        <v>1058</v>
      </c>
      <c r="E154" s="1" t="s">
        <v>1059</v>
      </c>
      <c r="F154" s="1" t="s">
        <v>1060</v>
      </c>
      <c r="G154" s="1" t="s">
        <v>1061</v>
      </c>
      <c r="H154">
        <v>16228491620</v>
      </c>
      <c r="I154" s="1" t="s">
        <v>450</v>
      </c>
      <c r="J154" s="1" t="s">
        <v>27</v>
      </c>
      <c r="K154" s="1" t="s">
        <v>131</v>
      </c>
      <c r="L154" s="1" t="s">
        <v>25</v>
      </c>
      <c r="M154" s="1" t="str">
        <f>IF(LEFT(results_context_via_permalink_gpt_5_2025_08_07_with_justification_run1[[#This Row],[LLM_response]], 21)="CONTEXT_ACCESSED: yes","X","")</f>
        <v/>
      </c>
      <c r="N154" s="1" t="s">
        <v>25</v>
      </c>
      <c r="O154" s="1" t="s">
        <v>25</v>
      </c>
      <c r="P154" s="1" t="s">
        <v>25</v>
      </c>
      <c r="Q154" s="1" t="s">
        <v>1062</v>
      </c>
      <c r="R154" s="1" t="s">
        <v>131</v>
      </c>
      <c r="S154" s="1" t="str">
        <f>IF(results_context_via_permalink_gpt_5_2025_08_07_with_justification_run1[[#This Row],[they_type]]=results_context_via_permalink_gpt_5_2025_08_07_with_justification_run1[[#This Row],[LLM_annotation]],"X","")</f>
        <v>X</v>
      </c>
      <c r="T154" s="1" t="s">
        <v>25</v>
      </c>
    </row>
    <row r="155" spans="1:20" x14ac:dyDescent="0.2">
      <c r="A155" s="1" t="s">
        <v>1063</v>
      </c>
      <c r="B155" s="1" t="s">
        <v>1064</v>
      </c>
      <c r="C155" s="1" t="s">
        <v>1065</v>
      </c>
      <c r="D155" s="1" t="s">
        <v>1066</v>
      </c>
      <c r="E155" s="1" t="s">
        <v>1067</v>
      </c>
      <c r="F155" s="1" t="s">
        <v>1068</v>
      </c>
      <c r="G155" s="1" t="s">
        <v>25</v>
      </c>
      <c r="H155">
        <v>15698893500</v>
      </c>
      <c r="I155" s="1" t="s">
        <v>450</v>
      </c>
      <c r="J155" s="1" t="s">
        <v>27</v>
      </c>
      <c r="K155" s="1" t="s">
        <v>131</v>
      </c>
      <c r="L155" s="1" t="s">
        <v>25</v>
      </c>
      <c r="M155" s="1" t="str">
        <f>IF(LEFT(results_context_via_permalink_gpt_5_2025_08_07_with_justification_run1[[#This Row],[LLM_response]], 21)="CONTEXT_ACCESSED: yes","X","")</f>
        <v/>
      </c>
      <c r="N155" s="1" t="s">
        <v>25</v>
      </c>
      <c r="O155" s="1" t="s">
        <v>25</v>
      </c>
      <c r="P155" s="1" t="s">
        <v>27</v>
      </c>
      <c r="Q155" s="1" t="s">
        <v>1069</v>
      </c>
      <c r="R155" s="1" t="s">
        <v>131</v>
      </c>
      <c r="S155" s="1" t="str">
        <f>IF(results_context_via_permalink_gpt_5_2025_08_07_with_justification_run1[[#This Row],[they_type]]=results_context_via_permalink_gpt_5_2025_08_07_with_justification_run1[[#This Row],[LLM_annotation]],"X","")</f>
        <v>X</v>
      </c>
      <c r="T155" s="1" t="s">
        <v>25</v>
      </c>
    </row>
    <row r="156" spans="1:20" x14ac:dyDescent="0.2">
      <c r="A156" s="1" t="s">
        <v>1070</v>
      </c>
      <c r="B156" s="1" t="s">
        <v>1071</v>
      </c>
      <c r="C156" s="1" t="s">
        <v>1072</v>
      </c>
      <c r="D156" s="1" t="s">
        <v>1073</v>
      </c>
      <c r="E156" s="1" t="s">
        <v>1074</v>
      </c>
      <c r="F156" s="1" t="s">
        <v>1075</v>
      </c>
      <c r="G156" s="1" t="s">
        <v>25</v>
      </c>
      <c r="H156">
        <v>16228567470</v>
      </c>
      <c r="I156" s="1" t="s">
        <v>404</v>
      </c>
      <c r="J156" s="1" t="s">
        <v>27</v>
      </c>
      <c r="K156" s="1" t="s">
        <v>36</v>
      </c>
      <c r="L156" s="1" t="s">
        <v>25</v>
      </c>
      <c r="M156" s="1" t="str">
        <f>IF(LEFT(results_context_via_permalink_gpt_5_2025_08_07_with_justification_run1[[#This Row],[LLM_response]], 21)="CONTEXT_ACCESSED: yes","X","")</f>
        <v/>
      </c>
      <c r="N156" s="1" t="s">
        <v>25</v>
      </c>
      <c r="O156" s="1" t="s">
        <v>25</v>
      </c>
      <c r="P156" s="1" t="s">
        <v>25</v>
      </c>
      <c r="Q156" s="1" t="s">
        <v>1076</v>
      </c>
      <c r="R156" s="1" t="s">
        <v>36</v>
      </c>
      <c r="S156" s="1" t="str">
        <f>IF(results_context_via_permalink_gpt_5_2025_08_07_with_justification_run1[[#This Row],[they_type]]=results_context_via_permalink_gpt_5_2025_08_07_with_justification_run1[[#This Row],[LLM_annotation]],"X","")</f>
        <v>X</v>
      </c>
      <c r="T156" s="1" t="s">
        <v>25</v>
      </c>
    </row>
    <row r="157" spans="1:20" x14ac:dyDescent="0.2">
      <c r="A157" s="1" t="s">
        <v>1077</v>
      </c>
      <c r="B157" s="1" t="s">
        <v>1078</v>
      </c>
      <c r="C157" s="1" t="s">
        <v>1079</v>
      </c>
      <c r="D157" s="1" t="s">
        <v>1080</v>
      </c>
      <c r="E157" s="1" t="s">
        <v>54</v>
      </c>
      <c r="F157" s="1" t="s">
        <v>1081</v>
      </c>
      <c r="G157" s="1" t="s">
        <v>25</v>
      </c>
      <c r="H157">
        <v>15698894400</v>
      </c>
      <c r="I157" s="1" t="s">
        <v>450</v>
      </c>
      <c r="J157" s="1" t="s">
        <v>27</v>
      </c>
      <c r="K157" s="1" t="s">
        <v>28</v>
      </c>
      <c r="L157" s="1" t="s">
        <v>25</v>
      </c>
      <c r="M157" s="1" t="str">
        <f>IF(LEFT(results_context_via_permalink_gpt_5_2025_08_07_with_justification_run1[[#This Row],[LLM_response]], 21)="CONTEXT_ACCESSED: yes","X","")</f>
        <v/>
      </c>
      <c r="N157" s="1" t="s">
        <v>25</v>
      </c>
      <c r="O157" s="1" t="s">
        <v>25</v>
      </c>
      <c r="P157" s="1" t="s">
        <v>25</v>
      </c>
      <c r="Q157" s="1" t="s">
        <v>1082</v>
      </c>
      <c r="R157" s="1" t="s">
        <v>28</v>
      </c>
      <c r="S157" s="1" t="str">
        <f>IF(results_context_via_permalink_gpt_5_2025_08_07_with_justification_run1[[#This Row],[they_type]]=results_context_via_permalink_gpt_5_2025_08_07_with_justification_run1[[#This Row],[LLM_annotation]],"X","")</f>
        <v>X</v>
      </c>
      <c r="T157" s="1" t="s">
        <v>25</v>
      </c>
    </row>
    <row r="158" spans="1:20" x14ac:dyDescent="0.2">
      <c r="A158" s="1" t="s">
        <v>1083</v>
      </c>
      <c r="B158" s="1" t="s">
        <v>1084</v>
      </c>
      <c r="C158" s="1" t="s">
        <v>1085</v>
      </c>
      <c r="D158" s="1" t="s">
        <v>1086</v>
      </c>
      <c r="E158" s="1" t="s">
        <v>1087</v>
      </c>
      <c r="F158" s="1" t="s">
        <v>1088</v>
      </c>
      <c r="G158" s="1" t="s">
        <v>1089</v>
      </c>
      <c r="H158">
        <v>16228571780</v>
      </c>
      <c r="I158" s="1" t="s">
        <v>404</v>
      </c>
      <c r="J158" s="1" t="s">
        <v>27</v>
      </c>
      <c r="K158" s="1" t="s">
        <v>28</v>
      </c>
      <c r="L158" s="1" t="s">
        <v>25</v>
      </c>
      <c r="M158" s="1" t="str">
        <f>IF(LEFT(results_context_via_permalink_gpt_5_2025_08_07_with_justification_run1[[#This Row],[LLM_response]], 21)="CONTEXT_ACCESSED: yes","X","")</f>
        <v/>
      </c>
      <c r="N158" s="1" t="s">
        <v>25</v>
      </c>
      <c r="O158" s="1" t="s">
        <v>25</v>
      </c>
      <c r="P158" s="1" t="s">
        <v>25</v>
      </c>
      <c r="Q158" s="1" t="s">
        <v>1090</v>
      </c>
      <c r="R158" s="1" t="s">
        <v>28</v>
      </c>
      <c r="S158" s="1" t="str">
        <f>IF(results_context_via_permalink_gpt_5_2025_08_07_with_justification_run1[[#This Row],[they_type]]=results_context_via_permalink_gpt_5_2025_08_07_with_justification_run1[[#This Row],[LLM_annotation]],"X","")</f>
        <v>X</v>
      </c>
      <c r="T158" s="1" t="s">
        <v>25</v>
      </c>
    </row>
    <row r="159" spans="1:20" x14ac:dyDescent="0.2">
      <c r="A159" s="1" t="s">
        <v>1091</v>
      </c>
      <c r="B159" s="1" t="s">
        <v>1092</v>
      </c>
      <c r="C159" s="1" t="s">
        <v>1093</v>
      </c>
      <c r="D159" s="1" t="s">
        <v>1094</v>
      </c>
      <c r="E159" s="1" t="s">
        <v>1095</v>
      </c>
      <c r="F159" s="1" t="s">
        <v>1096</v>
      </c>
      <c r="G159" s="1" t="s">
        <v>1097</v>
      </c>
      <c r="H159">
        <v>16228626630</v>
      </c>
      <c r="I159" s="1" t="s">
        <v>450</v>
      </c>
      <c r="J159" s="1" t="s">
        <v>27</v>
      </c>
      <c r="K159" s="1" t="s">
        <v>131</v>
      </c>
      <c r="L159" s="1" t="s">
        <v>25</v>
      </c>
      <c r="M159" s="1" t="str">
        <f>IF(LEFT(results_context_via_permalink_gpt_5_2025_08_07_with_justification_run1[[#This Row],[LLM_response]], 21)="CONTEXT_ACCESSED: yes","X","")</f>
        <v/>
      </c>
      <c r="N159" s="1" t="s">
        <v>25</v>
      </c>
      <c r="O159" s="1" t="s">
        <v>25</v>
      </c>
      <c r="P159" s="1" t="s">
        <v>25</v>
      </c>
      <c r="Q159" s="1" t="s">
        <v>1098</v>
      </c>
      <c r="R159" s="1" t="s">
        <v>131</v>
      </c>
      <c r="S159" s="1" t="str">
        <f>IF(results_context_via_permalink_gpt_5_2025_08_07_with_justification_run1[[#This Row],[they_type]]=results_context_via_permalink_gpt_5_2025_08_07_with_justification_run1[[#This Row],[LLM_annotation]],"X","")</f>
        <v>X</v>
      </c>
      <c r="T159" s="1" t="s">
        <v>25</v>
      </c>
    </row>
    <row r="160" spans="1:20" x14ac:dyDescent="0.2">
      <c r="A160" s="1" t="s">
        <v>1099</v>
      </c>
      <c r="B160" s="1" t="s">
        <v>1100</v>
      </c>
      <c r="C160" s="1" t="s">
        <v>1101</v>
      </c>
      <c r="D160" s="1" t="s">
        <v>1102</v>
      </c>
      <c r="E160" s="1" t="s">
        <v>1103</v>
      </c>
      <c r="F160" s="1" t="s">
        <v>1104</v>
      </c>
      <c r="G160" s="1" t="s">
        <v>25</v>
      </c>
      <c r="H160">
        <v>16228671760</v>
      </c>
      <c r="I160" s="1" t="s">
        <v>471</v>
      </c>
      <c r="J160" s="1" t="s">
        <v>27</v>
      </c>
      <c r="K160" s="1" t="s">
        <v>28</v>
      </c>
      <c r="L160" s="1" t="s">
        <v>25</v>
      </c>
      <c r="M160" s="1" t="str">
        <f>IF(LEFT(results_context_via_permalink_gpt_5_2025_08_07_with_justification_run1[[#This Row],[LLM_response]], 21)="CONTEXT_ACCESSED: yes","X","")</f>
        <v/>
      </c>
      <c r="N160" s="1" t="s">
        <v>25</v>
      </c>
      <c r="O160" s="1" t="s">
        <v>25</v>
      </c>
      <c r="P160" s="1" t="s">
        <v>25</v>
      </c>
      <c r="Q160" s="1" t="s">
        <v>1105</v>
      </c>
      <c r="R160" s="1" t="s">
        <v>28</v>
      </c>
      <c r="S160" s="1" t="str">
        <f>IF(results_context_via_permalink_gpt_5_2025_08_07_with_justification_run1[[#This Row],[they_type]]=results_context_via_permalink_gpt_5_2025_08_07_with_justification_run1[[#This Row],[LLM_annotation]],"X","")</f>
        <v>X</v>
      </c>
      <c r="T160" s="1" t="s">
        <v>25</v>
      </c>
    </row>
    <row r="161" spans="1:20" x14ac:dyDescent="0.2">
      <c r="A161" s="1" t="s">
        <v>1106</v>
      </c>
      <c r="B161" s="1" t="s">
        <v>1107</v>
      </c>
      <c r="C161" s="1" t="s">
        <v>1108</v>
      </c>
      <c r="D161" s="1" t="s">
        <v>1109</v>
      </c>
      <c r="E161" s="1" t="s">
        <v>1110</v>
      </c>
      <c r="F161" s="1" t="s">
        <v>1111</v>
      </c>
      <c r="G161" s="1" t="s">
        <v>25</v>
      </c>
      <c r="H161">
        <v>16228776030</v>
      </c>
      <c r="I161" s="1" t="s">
        <v>450</v>
      </c>
      <c r="J161" s="1" t="s">
        <v>27</v>
      </c>
      <c r="K161" s="1" t="s">
        <v>131</v>
      </c>
      <c r="L161" s="1" t="s">
        <v>27</v>
      </c>
      <c r="M161" s="1" t="str">
        <f>IF(LEFT(results_context_via_permalink_gpt_5_2025_08_07_with_justification_run1[[#This Row],[LLM_response]], 21)="CONTEXT_ACCESSED: yes","X","")</f>
        <v/>
      </c>
      <c r="N161" s="1" t="s">
        <v>25</v>
      </c>
      <c r="O161" s="1" t="s">
        <v>25</v>
      </c>
      <c r="P161" s="1" t="s">
        <v>27</v>
      </c>
      <c r="Q161" s="1" t="s">
        <v>1112</v>
      </c>
      <c r="R161" s="1" t="s">
        <v>131</v>
      </c>
      <c r="S161" s="1" t="str">
        <f>IF(results_context_via_permalink_gpt_5_2025_08_07_with_justification_run1[[#This Row],[they_type]]=results_context_via_permalink_gpt_5_2025_08_07_with_justification_run1[[#This Row],[LLM_annotation]],"X","")</f>
        <v>X</v>
      </c>
      <c r="T161" s="1" t="s">
        <v>25</v>
      </c>
    </row>
    <row r="162" spans="1:20" x14ac:dyDescent="0.2">
      <c r="A162" s="1" t="s">
        <v>1113</v>
      </c>
      <c r="B162" s="1" t="s">
        <v>1114</v>
      </c>
      <c r="C162" s="1" t="s">
        <v>1115</v>
      </c>
      <c r="D162" s="1" t="s">
        <v>1116</v>
      </c>
      <c r="E162" s="1" t="s">
        <v>1117</v>
      </c>
      <c r="F162" s="1" t="s">
        <v>1118</v>
      </c>
      <c r="G162" s="1" t="s">
        <v>25</v>
      </c>
      <c r="H162">
        <v>16228798000</v>
      </c>
      <c r="I162" s="1" t="s">
        <v>427</v>
      </c>
      <c r="J162" s="1" t="s">
        <v>27</v>
      </c>
      <c r="K162" s="1" t="s">
        <v>28</v>
      </c>
      <c r="L162" s="1" t="s">
        <v>27</v>
      </c>
      <c r="M162" s="1" t="str">
        <f>IF(LEFT(results_context_via_permalink_gpt_5_2025_08_07_with_justification_run1[[#This Row],[LLM_response]], 21)="CONTEXT_ACCESSED: yes","X","")</f>
        <v>X</v>
      </c>
      <c r="N162" s="1" t="s">
        <v>25</v>
      </c>
      <c r="O162" s="1" t="s">
        <v>25</v>
      </c>
      <c r="P162" s="1" t="s">
        <v>27</v>
      </c>
      <c r="Q162" s="1" t="s">
        <v>1119</v>
      </c>
      <c r="R162" s="1" t="s">
        <v>131</v>
      </c>
      <c r="S162" s="1" t="str">
        <f>IF(results_context_via_permalink_gpt_5_2025_08_07_with_justification_run1[[#This Row],[they_type]]=results_context_via_permalink_gpt_5_2025_08_07_with_justification_run1[[#This Row],[LLM_annotation]],"X","")</f>
        <v/>
      </c>
      <c r="T162" s="1" t="s">
        <v>25</v>
      </c>
    </row>
    <row r="163" spans="1:20" x14ac:dyDescent="0.2">
      <c r="A163" s="1" t="s">
        <v>1120</v>
      </c>
      <c r="B163" s="1" t="s">
        <v>1121</v>
      </c>
      <c r="C163" s="1" t="s">
        <v>1122</v>
      </c>
      <c r="D163" s="1" t="s">
        <v>1123</v>
      </c>
      <c r="E163" s="1" t="s">
        <v>1124</v>
      </c>
      <c r="F163" s="1" t="s">
        <v>1125</v>
      </c>
      <c r="G163" s="1" t="s">
        <v>25</v>
      </c>
      <c r="H163">
        <v>16228984010</v>
      </c>
      <c r="I163" s="1" t="s">
        <v>404</v>
      </c>
      <c r="J163" s="1" t="s">
        <v>27</v>
      </c>
      <c r="K163" s="1" t="s">
        <v>28</v>
      </c>
      <c r="L163" s="1" t="s">
        <v>27</v>
      </c>
      <c r="M163" s="1" t="str">
        <f>IF(LEFT(results_context_via_permalink_gpt_5_2025_08_07_with_justification_run1[[#This Row],[LLM_response]], 21)="CONTEXT_ACCESSED: yes","X","")</f>
        <v/>
      </c>
      <c r="N163" s="1" t="s">
        <v>25</v>
      </c>
      <c r="O163" s="1" t="s">
        <v>25</v>
      </c>
      <c r="P163" s="1" t="s">
        <v>25</v>
      </c>
      <c r="Q163" s="1" t="s">
        <v>1126</v>
      </c>
      <c r="R163" s="1" t="s">
        <v>28</v>
      </c>
      <c r="S163" s="1" t="str">
        <f>IF(results_context_via_permalink_gpt_5_2025_08_07_with_justification_run1[[#This Row],[they_type]]=results_context_via_permalink_gpt_5_2025_08_07_with_justification_run1[[#This Row],[LLM_annotation]],"X","")</f>
        <v>X</v>
      </c>
      <c r="T163" s="1" t="s">
        <v>25</v>
      </c>
    </row>
    <row r="164" spans="1:20" x14ac:dyDescent="0.2">
      <c r="A164" s="1" t="s">
        <v>1127</v>
      </c>
      <c r="B164" s="1" t="s">
        <v>1128</v>
      </c>
      <c r="C164" s="1" t="s">
        <v>1129</v>
      </c>
      <c r="D164" s="1" t="s">
        <v>1130</v>
      </c>
      <c r="E164" s="1" t="s">
        <v>1131</v>
      </c>
      <c r="F164" s="1" t="s">
        <v>1132</v>
      </c>
      <c r="G164" s="1" t="s">
        <v>25</v>
      </c>
      <c r="H164">
        <v>16229048230</v>
      </c>
      <c r="I164" s="1" t="s">
        <v>368</v>
      </c>
      <c r="J164" s="1" t="s">
        <v>27</v>
      </c>
      <c r="K164" s="1" t="s">
        <v>28</v>
      </c>
      <c r="L164" s="1" t="s">
        <v>25</v>
      </c>
      <c r="M164" s="1" t="str">
        <f>IF(LEFT(results_context_via_permalink_gpt_5_2025_08_07_with_justification_run1[[#This Row],[LLM_response]], 21)="CONTEXT_ACCESSED: yes","X","")</f>
        <v>X</v>
      </c>
      <c r="N164" s="1" t="s">
        <v>25</v>
      </c>
      <c r="O164" s="1" t="s">
        <v>25</v>
      </c>
      <c r="P164" s="1" t="s">
        <v>25</v>
      </c>
      <c r="Q164" s="1" t="s">
        <v>1133</v>
      </c>
      <c r="R164" s="1" t="s">
        <v>28</v>
      </c>
      <c r="S164" s="1" t="str">
        <f>IF(results_context_via_permalink_gpt_5_2025_08_07_with_justification_run1[[#This Row],[they_type]]=results_context_via_permalink_gpt_5_2025_08_07_with_justification_run1[[#This Row],[LLM_annotation]],"X","")</f>
        <v>X</v>
      </c>
      <c r="T164" s="1" t="s">
        <v>25</v>
      </c>
    </row>
    <row r="165" spans="1:20" x14ac:dyDescent="0.2">
      <c r="A165" s="1" t="s">
        <v>1134</v>
      </c>
      <c r="B165" s="1" t="s">
        <v>421</v>
      </c>
      <c r="C165" s="1" t="s">
        <v>1135</v>
      </c>
      <c r="D165" s="1" t="s">
        <v>1136</v>
      </c>
      <c r="E165" s="1" t="s">
        <v>1137</v>
      </c>
      <c r="F165" s="1" t="s">
        <v>34</v>
      </c>
      <c r="G165" s="1" t="s">
        <v>25</v>
      </c>
      <c r="H165">
        <v>16229052850</v>
      </c>
      <c r="I165" s="1" t="s">
        <v>471</v>
      </c>
      <c r="J165" s="1" t="s">
        <v>27</v>
      </c>
      <c r="K165" s="1" t="s">
        <v>131</v>
      </c>
      <c r="L165" s="1" t="s">
        <v>25</v>
      </c>
      <c r="M165" s="1" t="str">
        <f>IF(LEFT(results_context_via_permalink_gpt_5_2025_08_07_with_justification_run1[[#This Row],[LLM_response]], 21)="CONTEXT_ACCESSED: yes","X","")</f>
        <v/>
      </c>
      <c r="N165" s="1" t="s">
        <v>25</v>
      </c>
      <c r="O165" s="1" t="s">
        <v>25</v>
      </c>
      <c r="P165" s="1" t="s">
        <v>25</v>
      </c>
      <c r="Q165" s="1" t="s">
        <v>1138</v>
      </c>
      <c r="R165" s="1" t="s">
        <v>131</v>
      </c>
      <c r="S165" s="1" t="str">
        <f>IF(results_context_via_permalink_gpt_5_2025_08_07_with_justification_run1[[#This Row],[they_type]]=results_context_via_permalink_gpt_5_2025_08_07_with_justification_run1[[#This Row],[LLM_annotation]],"X","")</f>
        <v>X</v>
      </c>
      <c r="T165" s="1" t="s">
        <v>25</v>
      </c>
    </row>
    <row r="166" spans="1:20" x14ac:dyDescent="0.2">
      <c r="A166" s="1" t="s">
        <v>1139</v>
      </c>
      <c r="B166" s="1" t="s">
        <v>1140</v>
      </c>
      <c r="C166" s="1" t="s">
        <v>1141</v>
      </c>
      <c r="D166" s="1" t="s">
        <v>1142</v>
      </c>
      <c r="E166" s="1" t="s">
        <v>1143</v>
      </c>
      <c r="F166" s="1" t="s">
        <v>1144</v>
      </c>
      <c r="G166" s="1" t="s">
        <v>1145</v>
      </c>
      <c r="H166">
        <v>16229083750</v>
      </c>
      <c r="I166" s="1" t="s">
        <v>368</v>
      </c>
      <c r="J166" s="1" t="s">
        <v>27</v>
      </c>
      <c r="K166" s="1" t="s">
        <v>131</v>
      </c>
      <c r="L166" s="1" t="s">
        <v>25</v>
      </c>
      <c r="M166" s="1" t="str">
        <f>IF(LEFT(results_context_via_permalink_gpt_5_2025_08_07_with_justification_run1[[#This Row],[LLM_response]], 21)="CONTEXT_ACCESSED: yes","X","")</f>
        <v/>
      </c>
      <c r="N166" s="1" t="s">
        <v>25</v>
      </c>
      <c r="O166" s="1" t="s">
        <v>25</v>
      </c>
      <c r="P166" s="1" t="s">
        <v>25</v>
      </c>
      <c r="Q166" s="1" t="s">
        <v>1146</v>
      </c>
      <c r="R166" s="1" t="s">
        <v>131</v>
      </c>
      <c r="S166" s="1" t="str">
        <f>IF(results_context_via_permalink_gpt_5_2025_08_07_with_justification_run1[[#This Row],[they_type]]=results_context_via_permalink_gpt_5_2025_08_07_with_justification_run1[[#This Row],[LLM_annotation]],"X","")</f>
        <v>X</v>
      </c>
      <c r="T166" s="1" t="s">
        <v>25</v>
      </c>
    </row>
    <row r="167" spans="1:20" x14ac:dyDescent="0.2">
      <c r="A167" s="1" t="s">
        <v>1147</v>
      </c>
      <c r="B167" s="1" t="s">
        <v>1148</v>
      </c>
      <c r="C167" s="1" t="s">
        <v>1149</v>
      </c>
      <c r="D167" s="1" t="s">
        <v>1150</v>
      </c>
      <c r="E167" s="1" t="s">
        <v>1151</v>
      </c>
      <c r="F167" s="1" t="s">
        <v>1152</v>
      </c>
      <c r="G167" s="1" t="s">
        <v>25</v>
      </c>
      <c r="H167">
        <v>16229122830</v>
      </c>
      <c r="I167" s="1" t="s">
        <v>368</v>
      </c>
      <c r="J167" s="1" t="s">
        <v>27</v>
      </c>
      <c r="K167" s="1" t="s">
        <v>131</v>
      </c>
      <c r="L167" s="1" t="s">
        <v>25</v>
      </c>
      <c r="M167" s="1" t="str">
        <f>IF(LEFT(results_context_via_permalink_gpt_5_2025_08_07_with_justification_run1[[#This Row],[LLM_response]], 21)="CONTEXT_ACCESSED: yes","X","")</f>
        <v/>
      </c>
      <c r="N167" s="1" t="s">
        <v>25</v>
      </c>
      <c r="O167" s="1" t="s">
        <v>25</v>
      </c>
      <c r="P167" s="1" t="s">
        <v>25</v>
      </c>
      <c r="Q167" s="1" t="s">
        <v>1153</v>
      </c>
      <c r="R167" s="1" t="s">
        <v>131</v>
      </c>
      <c r="S167" s="1" t="str">
        <f>IF(results_context_via_permalink_gpt_5_2025_08_07_with_justification_run1[[#This Row],[they_type]]=results_context_via_permalink_gpt_5_2025_08_07_with_justification_run1[[#This Row],[LLM_annotation]],"X","")</f>
        <v>X</v>
      </c>
      <c r="T167" s="1" t="s">
        <v>25</v>
      </c>
    </row>
    <row r="168" spans="1:20" x14ac:dyDescent="0.2">
      <c r="A168" s="1" t="s">
        <v>1154</v>
      </c>
      <c r="B168" s="1" t="s">
        <v>1155</v>
      </c>
      <c r="C168" s="1" t="s">
        <v>1156</v>
      </c>
      <c r="D168" s="1" t="s">
        <v>1157</v>
      </c>
      <c r="E168" s="1" t="s">
        <v>1158</v>
      </c>
      <c r="F168" s="1" t="s">
        <v>1159</v>
      </c>
      <c r="G168" s="1" t="s">
        <v>25</v>
      </c>
      <c r="H168">
        <v>16229204750</v>
      </c>
      <c r="I168" s="1" t="s">
        <v>450</v>
      </c>
      <c r="J168" s="1" t="s">
        <v>27</v>
      </c>
      <c r="K168" s="1" t="s">
        <v>131</v>
      </c>
      <c r="L168" s="1" t="s">
        <v>25</v>
      </c>
      <c r="M168" s="1" t="str">
        <f>IF(LEFT(results_context_via_permalink_gpt_5_2025_08_07_with_justification_run1[[#This Row],[LLM_response]], 21)="CONTEXT_ACCESSED: yes","X","")</f>
        <v/>
      </c>
      <c r="N168" s="1" t="s">
        <v>25</v>
      </c>
      <c r="O168" s="1" t="s">
        <v>25</v>
      </c>
      <c r="P168" s="1" t="s">
        <v>27</v>
      </c>
      <c r="Q168" s="1" t="s">
        <v>1160</v>
      </c>
      <c r="R168" s="1" t="s">
        <v>131</v>
      </c>
      <c r="S168" s="1" t="str">
        <f>IF(results_context_via_permalink_gpt_5_2025_08_07_with_justification_run1[[#This Row],[they_type]]=results_context_via_permalink_gpt_5_2025_08_07_with_justification_run1[[#This Row],[LLM_annotation]],"X","")</f>
        <v>X</v>
      </c>
      <c r="T168" s="1" t="s">
        <v>25</v>
      </c>
    </row>
    <row r="169" spans="1:20" x14ac:dyDescent="0.2">
      <c r="A169" s="1" t="s">
        <v>1161</v>
      </c>
      <c r="B169" s="1" t="s">
        <v>1162</v>
      </c>
      <c r="C169" s="1" t="s">
        <v>1163</v>
      </c>
      <c r="D169" s="1" t="s">
        <v>1164</v>
      </c>
      <c r="E169" s="1" t="s">
        <v>1165</v>
      </c>
      <c r="F169" s="1" t="s">
        <v>1166</v>
      </c>
      <c r="G169" s="1" t="s">
        <v>25</v>
      </c>
      <c r="H169">
        <v>16229232390</v>
      </c>
      <c r="I169" s="1" t="s">
        <v>368</v>
      </c>
      <c r="J169" s="1" t="s">
        <v>27</v>
      </c>
      <c r="K169" s="1" t="s">
        <v>36</v>
      </c>
      <c r="L169" s="1" t="s">
        <v>25</v>
      </c>
      <c r="M169" s="1" t="str">
        <f>IF(LEFT(results_context_via_permalink_gpt_5_2025_08_07_with_justification_run1[[#This Row],[LLM_response]], 21)="CONTEXT_ACCESSED: yes","X","")</f>
        <v/>
      </c>
      <c r="N169" s="1" t="s">
        <v>25</v>
      </c>
      <c r="O169" s="1" t="s">
        <v>25</v>
      </c>
      <c r="P169" s="1" t="s">
        <v>25</v>
      </c>
      <c r="Q169" s="1" t="s">
        <v>1167</v>
      </c>
      <c r="R169" s="1" t="s">
        <v>36</v>
      </c>
      <c r="S169" s="1" t="str">
        <f>IF(results_context_via_permalink_gpt_5_2025_08_07_with_justification_run1[[#This Row],[they_type]]=results_context_via_permalink_gpt_5_2025_08_07_with_justification_run1[[#This Row],[LLM_annotation]],"X","")</f>
        <v>X</v>
      </c>
      <c r="T169" s="1" t="s">
        <v>25</v>
      </c>
    </row>
    <row r="170" spans="1:20" x14ac:dyDescent="0.2">
      <c r="A170" s="1" t="s">
        <v>1168</v>
      </c>
      <c r="B170" s="1" t="s">
        <v>1169</v>
      </c>
      <c r="C170" s="1" t="s">
        <v>1170</v>
      </c>
      <c r="D170" s="1" t="s">
        <v>1171</v>
      </c>
      <c r="E170" s="1" t="s">
        <v>1172</v>
      </c>
      <c r="F170" s="1" t="s">
        <v>1173</v>
      </c>
      <c r="G170" s="1" t="s">
        <v>25</v>
      </c>
      <c r="H170">
        <v>16229246300</v>
      </c>
      <c r="I170" s="1" t="s">
        <v>450</v>
      </c>
      <c r="J170" s="1" t="s">
        <v>27</v>
      </c>
      <c r="K170" s="1" t="s">
        <v>131</v>
      </c>
      <c r="L170" s="1" t="s">
        <v>27</v>
      </c>
      <c r="M170" s="1" t="str">
        <f>IF(LEFT(results_context_via_permalink_gpt_5_2025_08_07_with_justification_run1[[#This Row],[LLM_response]], 21)="CONTEXT_ACCESSED: yes","X","")</f>
        <v/>
      </c>
      <c r="N170" s="1" t="s">
        <v>25</v>
      </c>
      <c r="O170" s="1" t="s">
        <v>25</v>
      </c>
      <c r="P170" s="1" t="s">
        <v>27</v>
      </c>
      <c r="Q170" s="1" t="s">
        <v>1174</v>
      </c>
      <c r="R170" s="1" t="s">
        <v>131</v>
      </c>
      <c r="S170" s="1" t="str">
        <f>IF(results_context_via_permalink_gpt_5_2025_08_07_with_justification_run1[[#This Row],[they_type]]=results_context_via_permalink_gpt_5_2025_08_07_with_justification_run1[[#This Row],[LLM_annotation]],"X","")</f>
        <v>X</v>
      </c>
      <c r="T170" s="1" t="s">
        <v>25</v>
      </c>
    </row>
    <row r="171" spans="1:20" x14ac:dyDescent="0.2">
      <c r="A171" s="1" t="s">
        <v>1175</v>
      </c>
      <c r="B171" s="1" t="s">
        <v>1176</v>
      </c>
      <c r="C171" s="1" t="s">
        <v>1177</v>
      </c>
      <c r="D171" s="1" t="s">
        <v>1178</v>
      </c>
      <c r="E171" s="1" t="s">
        <v>1179</v>
      </c>
      <c r="F171" s="1" t="s">
        <v>1180</v>
      </c>
      <c r="G171" s="1" t="s">
        <v>25</v>
      </c>
      <c r="H171">
        <v>16229269110</v>
      </c>
      <c r="I171" s="1" t="s">
        <v>404</v>
      </c>
      <c r="J171" s="1" t="s">
        <v>27</v>
      </c>
      <c r="K171" s="1" t="s">
        <v>131</v>
      </c>
      <c r="L171" s="1" t="s">
        <v>25</v>
      </c>
      <c r="M171" s="1" t="str">
        <f>IF(LEFT(results_context_via_permalink_gpt_5_2025_08_07_with_justification_run1[[#This Row],[LLM_response]], 21)="CONTEXT_ACCESSED: yes","X","")</f>
        <v/>
      </c>
      <c r="N171" s="1" t="s">
        <v>25</v>
      </c>
      <c r="O171" s="1" t="s">
        <v>25</v>
      </c>
      <c r="P171" s="1" t="s">
        <v>25</v>
      </c>
      <c r="Q171" s="1" t="s">
        <v>1181</v>
      </c>
      <c r="R171" s="1" t="s">
        <v>131</v>
      </c>
      <c r="S171" s="1" t="str">
        <f>IF(results_context_via_permalink_gpt_5_2025_08_07_with_justification_run1[[#This Row],[they_type]]=results_context_via_permalink_gpt_5_2025_08_07_with_justification_run1[[#This Row],[LLM_annotation]],"X","")</f>
        <v>X</v>
      </c>
      <c r="T171" s="1" t="s">
        <v>25</v>
      </c>
    </row>
    <row r="172" spans="1:20" x14ac:dyDescent="0.2">
      <c r="A172" s="1" t="s">
        <v>1182</v>
      </c>
      <c r="B172" s="1" t="s">
        <v>1183</v>
      </c>
      <c r="C172" s="1" t="s">
        <v>1184</v>
      </c>
      <c r="D172" s="1" t="s">
        <v>1185</v>
      </c>
      <c r="E172" s="1" t="s">
        <v>1186</v>
      </c>
      <c r="F172" s="1" t="s">
        <v>1187</v>
      </c>
      <c r="G172" s="1" t="s">
        <v>25</v>
      </c>
      <c r="H172">
        <v>16229336790</v>
      </c>
      <c r="I172" s="1" t="s">
        <v>450</v>
      </c>
      <c r="J172" s="1" t="s">
        <v>27</v>
      </c>
      <c r="K172" s="1" t="s">
        <v>131</v>
      </c>
      <c r="L172" s="1" t="s">
        <v>25</v>
      </c>
      <c r="M172" s="1" t="str">
        <f>IF(LEFT(results_context_via_permalink_gpt_5_2025_08_07_with_justification_run1[[#This Row],[LLM_response]], 21)="CONTEXT_ACCESSED: yes","X","")</f>
        <v/>
      </c>
      <c r="N172" s="1" t="s">
        <v>25</v>
      </c>
      <c r="O172" s="1" t="s">
        <v>25</v>
      </c>
      <c r="P172" s="1" t="s">
        <v>27</v>
      </c>
      <c r="Q172" s="1" t="s">
        <v>1188</v>
      </c>
      <c r="R172" s="1" t="s">
        <v>131</v>
      </c>
      <c r="S172" s="1" t="str">
        <f>IF(results_context_via_permalink_gpt_5_2025_08_07_with_justification_run1[[#This Row],[they_type]]=results_context_via_permalink_gpt_5_2025_08_07_with_justification_run1[[#This Row],[LLM_annotation]],"X","")</f>
        <v>X</v>
      </c>
      <c r="T172" s="1" t="s">
        <v>25</v>
      </c>
    </row>
    <row r="173" spans="1:20" x14ac:dyDescent="0.2">
      <c r="A173" s="1" t="s">
        <v>1189</v>
      </c>
      <c r="B173" s="1" t="s">
        <v>1190</v>
      </c>
      <c r="C173" s="1" t="s">
        <v>1191</v>
      </c>
      <c r="D173" s="1" t="s">
        <v>1192</v>
      </c>
      <c r="E173" s="1" t="s">
        <v>410</v>
      </c>
      <c r="F173" s="1" t="s">
        <v>1193</v>
      </c>
      <c r="G173" s="1" t="s">
        <v>25</v>
      </c>
      <c r="H173">
        <v>16229358920</v>
      </c>
      <c r="I173" s="1" t="s">
        <v>450</v>
      </c>
      <c r="J173" s="1" t="s">
        <v>27</v>
      </c>
      <c r="K173" s="1" t="s">
        <v>36</v>
      </c>
      <c r="L173" s="1" t="s">
        <v>27</v>
      </c>
      <c r="M173" s="1" t="str">
        <f>IF(LEFT(results_context_via_permalink_gpt_5_2025_08_07_with_justification_run1[[#This Row],[LLM_response]], 21)="CONTEXT_ACCESSED: yes","X","")</f>
        <v>X</v>
      </c>
      <c r="N173" s="1" t="s">
        <v>25</v>
      </c>
      <c r="O173" s="1" t="s">
        <v>25</v>
      </c>
      <c r="P173" s="1" t="s">
        <v>27</v>
      </c>
      <c r="Q173" s="1" t="s">
        <v>1194</v>
      </c>
      <c r="R173" s="1" t="s">
        <v>36</v>
      </c>
      <c r="S173" s="1" t="str">
        <f>IF(results_context_via_permalink_gpt_5_2025_08_07_with_justification_run1[[#This Row],[they_type]]=results_context_via_permalink_gpt_5_2025_08_07_with_justification_run1[[#This Row],[LLM_annotation]],"X","")</f>
        <v>X</v>
      </c>
      <c r="T173" s="1" t="s">
        <v>25</v>
      </c>
    </row>
    <row r="174" spans="1:20" x14ac:dyDescent="0.2">
      <c r="A174" s="1" t="s">
        <v>1195</v>
      </c>
      <c r="B174" s="1" t="s">
        <v>1196</v>
      </c>
      <c r="C174" s="1" t="s">
        <v>1197</v>
      </c>
      <c r="D174" s="1" t="s">
        <v>1198</v>
      </c>
      <c r="E174" s="1" t="s">
        <v>965</v>
      </c>
      <c r="F174" s="1" t="s">
        <v>1199</v>
      </c>
      <c r="G174" s="1" t="s">
        <v>25</v>
      </c>
      <c r="H174">
        <v>16229424630</v>
      </c>
      <c r="I174" s="1" t="s">
        <v>404</v>
      </c>
      <c r="J174" s="1" t="s">
        <v>27</v>
      </c>
      <c r="K174" s="1" t="s">
        <v>131</v>
      </c>
      <c r="L174" s="1" t="s">
        <v>25</v>
      </c>
      <c r="M174" s="1" t="str">
        <f>IF(LEFT(results_context_via_permalink_gpt_5_2025_08_07_with_justification_run1[[#This Row],[LLM_response]], 21)="CONTEXT_ACCESSED: yes","X","")</f>
        <v/>
      </c>
      <c r="N174" s="1" t="s">
        <v>25</v>
      </c>
      <c r="O174" s="1" t="s">
        <v>25</v>
      </c>
      <c r="P174" s="1" t="s">
        <v>25</v>
      </c>
      <c r="Q174" s="1" t="s">
        <v>1200</v>
      </c>
      <c r="R174" s="1" t="s">
        <v>131</v>
      </c>
      <c r="S174" s="1" t="str">
        <f>IF(results_context_via_permalink_gpt_5_2025_08_07_with_justification_run1[[#This Row],[they_type]]=results_context_via_permalink_gpt_5_2025_08_07_with_justification_run1[[#This Row],[LLM_annotation]],"X","")</f>
        <v>X</v>
      </c>
      <c r="T174" s="1" t="s">
        <v>25</v>
      </c>
    </row>
    <row r="175" spans="1:20" x14ac:dyDescent="0.2">
      <c r="A175" s="1" t="s">
        <v>1201</v>
      </c>
      <c r="B175" s="1" t="s">
        <v>1202</v>
      </c>
      <c r="C175" s="1" t="s">
        <v>1203</v>
      </c>
      <c r="D175" s="1" t="s">
        <v>1204</v>
      </c>
      <c r="E175" s="1" t="s">
        <v>555</v>
      </c>
      <c r="F175" s="1" t="s">
        <v>1205</v>
      </c>
      <c r="G175" s="1" t="s">
        <v>25</v>
      </c>
      <c r="H175">
        <v>16229665670</v>
      </c>
      <c r="I175" s="1" t="s">
        <v>391</v>
      </c>
      <c r="J175" s="1" t="s">
        <v>27</v>
      </c>
      <c r="K175" s="1" t="s">
        <v>28</v>
      </c>
      <c r="L175" s="1" t="s">
        <v>25</v>
      </c>
      <c r="M175" s="1" t="str">
        <f>IF(LEFT(results_context_via_permalink_gpt_5_2025_08_07_with_justification_run1[[#This Row],[LLM_response]], 21)="CONTEXT_ACCESSED: yes","X","")</f>
        <v/>
      </c>
      <c r="N175" s="1" t="s">
        <v>25</v>
      </c>
      <c r="O175" s="1" t="s">
        <v>25</v>
      </c>
      <c r="P175" s="1" t="s">
        <v>25</v>
      </c>
      <c r="Q175" s="1" t="s">
        <v>1206</v>
      </c>
      <c r="R175" s="1" t="s">
        <v>28</v>
      </c>
      <c r="S175" s="1" t="str">
        <f>IF(results_context_via_permalink_gpt_5_2025_08_07_with_justification_run1[[#This Row],[they_type]]=results_context_via_permalink_gpt_5_2025_08_07_with_justification_run1[[#This Row],[LLM_annotation]],"X","")</f>
        <v>X</v>
      </c>
      <c r="T175" s="1" t="s">
        <v>25</v>
      </c>
    </row>
    <row r="176" spans="1:20" x14ac:dyDescent="0.2">
      <c r="A176" s="1"/>
      <c r="B176" s="1"/>
      <c r="C176" s="1"/>
      <c r="D176" s="1"/>
      <c r="E176" s="1"/>
      <c r="F176" s="1"/>
      <c r="G176" s="1"/>
      <c r="I176" s="1"/>
      <c r="J176" s="1"/>
      <c r="K176" s="1"/>
      <c r="L176" s="1"/>
      <c r="M176" s="1"/>
      <c r="N176" s="1"/>
      <c r="O176" s="1"/>
      <c r="P176" s="1"/>
      <c r="Q176" s="1"/>
      <c r="R176" s="1"/>
      <c r="S176" s="1"/>
      <c r="T176" s="1"/>
    </row>
    <row r="184" spans="18:18" x14ac:dyDescent="0.2">
      <c r="R184">
        <f>9/14</f>
        <v>0.6428571428571429</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7A2DC-6177-C044-8282-8CD67E3AEA2C}">
  <dimension ref="A1:T175"/>
  <sheetViews>
    <sheetView topLeftCell="N1" workbookViewId="0">
      <selection activeCell="T51" sqref="T51"/>
    </sheetView>
  </sheetViews>
  <sheetFormatPr baseColWidth="10" defaultRowHeight="16" x14ac:dyDescent="0.2"/>
  <cols>
    <col min="1" max="1" width="16" bestFit="1" customWidth="1"/>
    <col min="2" max="2" width="11" bestFit="1" customWidth="1"/>
    <col min="3" max="4" width="80.6640625" bestFit="1" customWidth="1"/>
    <col min="5" max="5" width="21" bestFit="1" customWidth="1"/>
    <col min="6" max="6" width="23.6640625" bestFit="1" customWidth="1"/>
    <col min="7" max="7" width="36" bestFit="1" customWidth="1"/>
    <col min="8" max="8" width="13.5" bestFit="1" customWidth="1"/>
    <col min="9" max="10" width="12" bestFit="1" customWidth="1"/>
    <col min="11" max="11" width="11.83203125" bestFit="1" customWidth="1"/>
    <col min="12" max="12" width="19.5" bestFit="1" customWidth="1"/>
    <col min="13" max="13" width="21.83203125" bestFit="1" customWidth="1"/>
    <col min="14" max="14" width="11.6640625" bestFit="1" customWidth="1"/>
    <col min="15" max="15" width="17" bestFit="1" customWidth="1"/>
    <col min="16" max="16" width="17.33203125" bestFit="1" customWidth="1"/>
    <col min="17" max="17" width="80.6640625" bestFit="1" customWidth="1"/>
    <col min="18" max="18" width="16.83203125" bestFit="1" customWidth="1"/>
    <col min="19" max="19" width="10.6640625" bestFit="1" customWidth="1"/>
    <col min="20" max="20" width="23.6640625" bestFit="1" customWidth="1"/>
  </cols>
  <sheetData>
    <row r="1" spans="1:20" x14ac:dyDescent="0.2">
      <c r="A1" t="s">
        <v>0</v>
      </c>
      <c r="B1" t="s">
        <v>1</v>
      </c>
      <c r="C1" t="s">
        <v>2</v>
      </c>
      <c r="D1" t="s">
        <v>3</v>
      </c>
      <c r="E1" t="s">
        <v>4</v>
      </c>
      <c r="F1" t="s">
        <v>5</v>
      </c>
      <c r="G1" t="s">
        <v>6</v>
      </c>
      <c r="H1" t="s">
        <v>7</v>
      </c>
      <c r="I1" t="s">
        <v>8</v>
      </c>
      <c r="J1" t="s">
        <v>9</v>
      </c>
      <c r="K1" t="s">
        <v>10</v>
      </c>
      <c r="L1" t="s">
        <v>11</v>
      </c>
      <c r="M1" t="s">
        <v>1207</v>
      </c>
      <c r="N1" t="s">
        <v>12</v>
      </c>
      <c r="O1" t="s">
        <v>13</v>
      </c>
      <c r="P1" t="s">
        <v>14</v>
      </c>
      <c r="Q1" t="s">
        <v>15</v>
      </c>
      <c r="R1" t="s">
        <v>16</v>
      </c>
      <c r="S1" t="s">
        <v>17</v>
      </c>
      <c r="T1" t="s">
        <v>18</v>
      </c>
    </row>
    <row r="2" spans="1:20" x14ac:dyDescent="0.2">
      <c r="A2" s="1" t="s">
        <v>19</v>
      </c>
      <c r="B2" s="1" t="s">
        <v>20</v>
      </c>
      <c r="C2" s="1" t="s">
        <v>21</v>
      </c>
      <c r="D2" s="1" t="s">
        <v>22</v>
      </c>
      <c r="E2" s="1" t="s">
        <v>23</v>
      </c>
      <c r="F2" s="1" t="s">
        <v>24</v>
      </c>
      <c r="G2" s="1" t="s">
        <v>25</v>
      </c>
      <c r="H2">
        <v>16652730410</v>
      </c>
      <c r="I2" s="1" t="s">
        <v>26</v>
      </c>
      <c r="J2" s="1" t="s">
        <v>27</v>
      </c>
      <c r="K2" s="1" t="s">
        <v>28</v>
      </c>
      <c r="L2" s="1" t="s">
        <v>25</v>
      </c>
      <c r="M2" s="1" t="str">
        <f>IF(LEFT(results_context_via_permalink_gpt_5_2025_08_07_with_justification_run1__2[[#This Row],[LLM_response]],21)="CONTEXT_ACCESSED: yes","X","")</f>
        <v>X</v>
      </c>
      <c r="N2" s="1" t="s">
        <v>25</v>
      </c>
      <c r="O2" s="1" t="s">
        <v>25</v>
      </c>
      <c r="P2" s="1" t="s">
        <v>25</v>
      </c>
      <c r="Q2" s="1" t="s">
        <v>1208</v>
      </c>
      <c r="R2" s="1" t="s">
        <v>28</v>
      </c>
      <c r="S2" s="1" t="str">
        <f>IF(results_context_via_permalink_gpt_5_2025_08_07_with_justification_run1__2[[#This Row],[they_type]]=results_context_via_permalink_gpt_5_2025_08_07_with_justification_run1__2[[#This Row],[LLM_annotation]],"X","")</f>
        <v>X</v>
      </c>
      <c r="T2" s="1" t="s">
        <v>25</v>
      </c>
    </row>
    <row r="3" spans="1:20" x14ac:dyDescent="0.2">
      <c r="A3" s="1" t="s">
        <v>29</v>
      </c>
      <c r="B3" s="1" t="s">
        <v>30</v>
      </c>
      <c r="C3" s="1" t="s">
        <v>31</v>
      </c>
      <c r="D3" s="1" t="s">
        <v>32</v>
      </c>
      <c r="E3" s="1" t="s">
        <v>33</v>
      </c>
      <c r="F3" s="1" t="s">
        <v>34</v>
      </c>
      <c r="G3" s="1" t="s">
        <v>25</v>
      </c>
      <c r="H3">
        <v>13274961680</v>
      </c>
      <c r="I3" s="1" t="s">
        <v>35</v>
      </c>
      <c r="J3" s="1" t="s">
        <v>27</v>
      </c>
      <c r="K3" s="1" t="s">
        <v>36</v>
      </c>
      <c r="L3" s="1" t="s">
        <v>25</v>
      </c>
      <c r="M3" s="1" t="str">
        <f>IF(LEFT(results_context_via_permalink_gpt_5_2025_08_07_with_justification_run1__2[[#This Row],[LLM_response]],21)="CONTEXT_ACCESSED: yes","X","")</f>
        <v/>
      </c>
      <c r="N3" s="1" t="s">
        <v>25</v>
      </c>
      <c r="O3" s="1" t="s">
        <v>25</v>
      </c>
      <c r="P3" s="1" t="s">
        <v>25</v>
      </c>
      <c r="Q3" s="1" t="s">
        <v>1209</v>
      </c>
      <c r="R3" s="1" t="s">
        <v>36</v>
      </c>
      <c r="S3" s="1" t="str">
        <f>IF(results_context_via_permalink_gpt_5_2025_08_07_with_justification_run1__2[[#This Row],[they_type]]=results_context_via_permalink_gpt_5_2025_08_07_with_justification_run1__2[[#This Row],[LLM_annotation]],"X","")</f>
        <v>X</v>
      </c>
      <c r="T3" s="1" t="s">
        <v>25</v>
      </c>
    </row>
    <row r="4" spans="1:20" x14ac:dyDescent="0.2">
      <c r="A4" s="1" t="s">
        <v>37</v>
      </c>
      <c r="B4" s="1" t="s">
        <v>38</v>
      </c>
      <c r="C4" s="1" t="s">
        <v>39</v>
      </c>
      <c r="D4" s="1" t="s">
        <v>40</v>
      </c>
      <c r="E4" s="1" t="s">
        <v>23</v>
      </c>
      <c r="F4" s="1" t="s">
        <v>41</v>
      </c>
      <c r="G4" s="1" t="s">
        <v>25</v>
      </c>
      <c r="H4">
        <v>16652762880</v>
      </c>
      <c r="I4" s="1" t="s">
        <v>42</v>
      </c>
      <c r="J4" s="1" t="s">
        <v>27</v>
      </c>
      <c r="K4" s="1" t="s">
        <v>28</v>
      </c>
      <c r="L4" s="1" t="s">
        <v>25</v>
      </c>
      <c r="M4" s="1" t="str">
        <f>IF(LEFT(results_context_via_permalink_gpt_5_2025_08_07_with_justification_run1__2[[#This Row],[LLM_response]],21)="CONTEXT_ACCESSED: yes","X","")</f>
        <v>X</v>
      </c>
      <c r="N4" s="1" t="s">
        <v>25</v>
      </c>
      <c r="O4" s="1" t="s">
        <v>25</v>
      </c>
      <c r="P4" s="1" t="s">
        <v>25</v>
      </c>
      <c r="Q4" s="1" t="s">
        <v>1210</v>
      </c>
      <c r="R4" s="1" t="s">
        <v>28</v>
      </c>
      <c r="S4" s="1" t="str">
        <f>IF(results_context_via_permalink_gpt_5_2025_08_07_with_justification_run1__2[[#This Row],[they_type]]=results_context_via_permalink_gpt_5_2025_08_07_with_justification_run1__2[[#This Row],[LLM_annotation]],"X","")</f>
        <v>X</v>
      </c>
      <c r="T4" s="1" t="s">
        <v>25</v>
      </c>
    </row>
    <row r="5" spans="1:20" x14ac:dyDescent="0.2">
      <c r="A5" s="1" t="s">
        <v>43</v>
      </c>
      <c r="B5" s="1" t="s">
        <v>44</v>
      </c>
      <c r="C5" s="1" t="s">
        <v>45</v>
      </c>
      <c r="D5" s="1" t="s">
        <v>46</v>
      </c>
      <c r="E5" s="1" t="s">
        <v>47</v>
      </c>
      <c r="F5" s="1" t="s">
        <v>48</v>
      </c>
      <c r="G5" s="1" t="s">
        <v>25</v>
      </c>
      <c r="H5">
        <v>13277546000</v>
      </c>
      <c r="I5" s="1" t="s">
        <v>49</v>
      </c>
      <c r="J5" s="1" t="s">
        <v>27</v>
      </c>
      <c r="K5" s="1" t="s">
        <v>36</v>
      </c>
      <c r="L5" s="1" t="s">
        <v>25</v>
      </c>
      <c r="M5" s="1" t="str">
        <f>IF(LEFT(results_context_via_permalink_gpt_5_2025_08_07_with_justification_run1__2[[#This Row],[LLM_response]],21)="CONTEXT_ACCESSED: yes","X","")</f>
        <v/>
      </c>
      <c r="N5" s="1" t="s">
        <v>25</v>
      </c>
      <c r="O5" s="1" t="s">
        <v>25</v>
      </c>
      <c r="P5" s="1" t="s">
        <v>25</v>
      </c>
      <c r="Q5" s="1" t="s">
        <v>1211</v>
      </c>
      <c r="R5" s="1" t="s">
        <v>36</v>
      </c>
      <c r="S5" s="1" t="str">
        <f>IF(results_context_via_permalink_gpt_5_2025_08_07_with_justification_run1__2[[#This Row],[they_type]]=results_context_via_permalink_gpt_5_2025_08_07_with_justification_run1__2[[#This Row],[LLM_annotation]],"X","")</f>
        <v>X</v>
      </c>
      <c r="T5" s="1" t="s">
        <v>25</v>
      </c>
    </row>
    <row r="6" spans="1:20" x14ac:dyDescent="0.2">
      <c r="A6" s="1" t="s">
        <v>50</v>
      </c>
      <c r="B6" s="1" t="s">
        <v>51</v>
      </c>
      <c r="C6" s="1" t="s">
        <v>52</v>
      </c>
      <c r="D6" s="1" t="s">
        <v>53</v>
      </c>
      <c r="E6" s="1" t="s">
        <v>54</v>
      </c>
      <c r="F6" s="1" t="s">
        <v>55</v>
      </c>
      <c r="G6" s="1" t="s">
        <v>25</v>
      </c>
      <c r="H6">
        <v>16653616180</v>
      </c>
      <c r="I6" s="1" t="s">
        <v>42</v>
      </c>
      <c r="J6" s="1" t="s">
        <v>27</v>
      </c>
      <c r="K6" s="1" t="s">
        <v>36</v>
      </c>
      <c r="L6" s="1" t="s">
        <v>25</v>
      </c>
      <c r="M6" s="1" t="str">
        <f>IF(LEFT(results_context_via_permalink_gpt_5_2025_08_07_with_justification_run1__2[[#This Row],[LLM_response]],21)="CONTEXT_ACCESSED: yes","X","")</f>
        <v>X</v>
      </c>
      <c r="N6" s="1" t="s">
        <v>25</v>
      </c>
      <c r="O6" s="1" t="s">
        <v>25</v>
      </c>
      <c r="P6" s="1" t="s">
        <v>25</v>
      </c>
      <c r="Q6" s="1" t="s">
        <v>1212</v>
      </c>
      <c r="R6" s="1" t="s">
        <v>36</v>
      </c>
      <c r="S6" s="1" t="str">
        <f>IF(results_context_via_permalink_gpt_5_2025_08_07_with_justification_run1__2[[#This Row],[they_type]]=results_context_via_permalink_gpt_5_2025_08_07_with_justification_run1__2[[#This Row],[LLM_annotation]],"X","")</f>
        <v>X</v>
      </c>
      <c r="T6" s="1" t="s">
        <v>25</v>
      </c>
    </row>
    <row r="7" spans="1:20" x14ac:dyDescent="0.2">
      <c r="A7" s="1" t="s">
        <v>56</v>
      </c>
      <c r="B7" s="1" t="s">
        <v>57</v>
      </c>
      <c r="C7" s="1" t="s">
        <v>58</v>
      </c>
      <c r="D7" s="1" t="s">
        <v>59</v>
      </c>
      <c r="E7" s="1" t="s">
        <v>47</v>
      </c>
      <c r="F7" s="1" t="s">
        <v>60</v>
      </c>
      <c r="G7" s="1" t="s">
        <v>25</v>
      </c>
      <c r="H7">
        <v>13278188540</v>
      </c>
      <c r="I7" s="1" t="s">
        <v>49</v>
      </c>
      <c r="J7" s="1" t="s">
        <v>27</v>
      </c>
      <c r="K7" s="1" t="s">
        <v>36</v>
      </c>
      <c r="L7" s="1" t="s">
        <v>25</v>
      </c>
      <c r="M7" s="1" t="str">
        <f>IF(LEFT(results_context_via_permalink_gpt_5_2025_08_07_with_justification_run1__2[[#This Row],[LLM_response]],21)="CONTEXT_ACCESSED: yes","X","")</f>
        <v/>
      </c>
      <c r="N7" s="1" t="s">
        <v>25</v>
      </c>
      <c r="O7" s="1" t="s">
        <v>25</v>
      </c>
      <c r="P7" s="1" t="s">
        <v>25</v>
      </c>
      <c r="Q7" s="1" t="s">
        <v>1213</v>
      </c>
      <c r="R7" s="1" t="s">
        <v>36</v>
      </c>
      <c r="S7" s="1" t="str">
        <f>IF(results_context_via_permalink_gpt_5_2025_08_07_with_justification_run1__2[[#This Row],[they_type]]=results_context_via_permalink_gpt_5_2025_08_07_with_justification_run1__2[[#This Row],[LLM_annotation]],"X","")</f>
        <v>X</v>
      </c>
      <c r="T7" s="1" t="s">
        <v>25</v>
      </c>
    </row>
    <row r="8" spans="1:20" x14ac:dyDescent="0.2">
      <c r="A8" s="1" t="s">
        <v>61</v>
      </c>
      <c r="B8" s="1" t="s">
        <v>62</v>
      </c>
      <c r="C8" s="1" t="s">
        <v>63</v>
      </c>
      <c r="D8" s="1" t="s">
        <v>64</v>
      </c>
      <c r="E8" s="1" t="s">
        <v>65</v>
      </c>
      <c r="F8" s="1" t="s">
        <v>66</v>
      </c>
      <c r="G8" s="1" t="s">
        <v>25</v>
      </c>
      <c r="H8">
        <v>16653996170</v>
      </c>
      <c r="I8" s="1" t="s">
        <v>26</v>
      </c>
      <c r="J8" s="1" t="s">
        <v>27</v>
      </c>
      <c r="K8" s="1" t="s">
        <v>28</v>
      </c>
      <c r="L8" s="1" t="s">
        <v>25</v>
      </c>
      <c r="M8" s="1" t="str">
        <f>IF(LEFT(results_context_via_permalink_gpt_5_2025_08_07_with_justification_run1__2[[#This Row],[LLM_response]],21)="CONTEXT_ACCESSED: yes","X","")</f>
        <v>X</v>
      </c>
      <c r="N8" s="1" t="s">
        <v>25</v>
      </c>
      <c r="O8" s="1" t="s">
        <v>25</v>
      </c>
      <c r="P8" s="1" t="s">
        <v>25</v>
      </c>
      <c r="Q8" s="1" t="s">
        <v>1214</v>
      </c>
      <c r="R8" s="1" t="s">
        <v>28</v>
      </c>
      <c r="S8" s="1" t="str">
        <f>IF(results_context_via_permalink_gpt_5_2025_08_07_with_justification_run1__2[[#This Row],[they_type]]=results_context_via_permalink_gpt_5_2025_08_07_with_justification_run1__2[[#This Row],[LLM_annotation]],"X","")</f>
        <v>X</v>
      </c>
      <c r="T8" s="1" t="s">
        <v>25</v>
      </c>
    </row>
    <row r="9" spans="1:20" x14ac:dyDescent="0.2">
      <c r="A9" s="1" t="s">
        <v>67</v>
      </c>
      <c r="B9" s="1" t="s">
        <v>68</v>
      </c>
      <c r="C9" s="1" t="s">
        <v>69</v>
      </c>
      <c r="D9" s="1" t="s">
        <v>70</v>
      </c>
      <c r="E9" s="1" t="s">
        <v>47</v>
      </c>
      <c r="F9" s="1" t="s">
        <v>34</v>
      </c>
      <c r="G9" s="1" t="s">
        <v>25</v>
      </c>
      <c r="H9">
        <v>13279045490</v>
      </c>
      <c r="I9" s="1" t="s">
        <v>49</v>
      </c>
      <c r="J9" s="1" t="s">
        <v>27</v>
      </c>
      <c r="K9" s="1" t="s">
        <v>36</v>
      </c>
      <c r="L9" s="1" t="s">
        <v>25</v>
      </c>
      <c r="M9" s="1" t="str">
        <f>IF(LEFT(results_context_via_permalink_gpt_5_2025_08_07_with_justification_run1__2[[#This Row],[LLM_response]],21)="CONTEXT_ACCESSED: yes","X","")</f>
        <v>X</v>
      </c>
      <c r="N9" s="1" t="s">
        <v>25</v>
      </c>
      <c r="O9" s="1" t="s">
        <v>25</v>
      </c>
      <c r="P9" s="1" t="s">
        <v>25</v>
      </c>
      <c r="Q9" s="1" t="s">
        <v>1215</v>
      </c>
      <c r="R9" s="1" t="s">
        <v>36</v>
      </c>
      <c r="S9" s="1" t="str">
        <f>IF(results_context_via_permalink_gpt_5_2025_08_07_with_justification_run1__2[[#This Row],[they_type]]=results_context_via_permalink_gpt_5_2025_08_07_with_justification_run1__2[[#This Row],[LLM_annotation]],"X","")</f>
        <v>X</v>
      </c>
      <c r="T9" s="1" t="s">
        <v>25</v>
      </c>
    </row>
    <row r="10" spans="1:20" x14ac:dyDescent="0.2">
      <c r="A10" s="1" t="s">
        <v>71</v>
      </c>
      <c r="B10" s="1" t="s">
        <v>72</v>
      </c>
      <c r="C10" s="1" t="s">
        <v>73</v>
      </c>
      <c r="D10" s="1" t="s">
        <v>74</v>
      </c>
      <c r="E10" s="1" t="s">
        <v>54</v>
      </c>
      <c r="F10" s="1" t="s">
        <v>25</v>
      </c>
      <c r="G10" s="1" t="s">
        <v>25</v>
      </c>
      <c r="I10" s="1" t="s">
        <v>42</v>
      </c>
      <c r="J10" s="1" t="s">
        <v>27</v>
      </c>
      <c r="K10" s="1" t="s">
        <v>36</v>
      </c>
      <c r="L10" s="1" t="s">
        <v>25</v>
      </c>
      <c r="M10" s="1" t="str">
        <f>IF(LEFT(results_context_via_permalink_gpt_5_2025_08_07_with_justification_run1__2[[#This Row],[LLM_response]],21)="CONTEXT_ACCESSED: yes","X","")</f>
        <v/>
      </c>
      <c r="N10" s="1" t="s">
        <v>25</v>
      </c>
      <c r="O10" s="1" t="s">
        <v>25</v>
      </c>
      <c r="P10" s="1" t="s">
        <v>25</v>
      </c>
      <c r="Q10" s="1" t="s">
        <v>1216</v>
      </c>
      <c r="R10" s="1" t="s">
        <v>36</v>
      </c>
      <c r="S10" s="1" t="str">
        <f>IF(results_context_via_permalink_gpt_5_2025_08_07_with_justification_run1__2[[#This Row],[they_type]]=results_context_via_permalink_gpt_5_2025_08_07_with_justification_run1__2[[#This Row],[LLM_annotation]],"X","")</f>
        <v>X</v>
      </c>
      <c r="T10" s="1" t="s">
        <v>25</v>
      </c>
    </row>
    <row r="11" spans="1:20" x14ac:dyDescent="0.2">
      <c r="A11" s="1" t="s">
        <v>75</v>
      </c>
      <c r="B11" s="1" t="s">
        <v>76</v>
      </c>
      <c r="C11" s="1" t="s">
        <v>77</v>
      </c>
      <c r="D11" s="1" t="s">
        <v>78</v>
      </c>
      <c r="E11" s="1" t="s">
        <v>65</v>
      </c>
      <c r="F11" s="1" t="s">
        <v>79</v>
      </c>
      <c r="G11" s="1" t="s">
        <v>25</v>
      </c>
      <c r="H11">
        <v>16654214730</v>
      </c>
      <c r="I11" s="1" t="s">
        <v>42</v>
      </c>
      <c r="J11" s="1" t="s">
        <v>27</v>
      </c>
      <c r="K11" s="1" t="s">
        <v>28</v>
      </c>
      <c r="L11" s="1" t="s">
        <v>25</v>
      </c>
      <c r="M11" s="1" t="str">
        <f>IF(LEFT(results_context_via_permalink_gpt_5_2025_08_07_with_justification_run1__2[[#This Row],[LLM_response]],21)="CONTEXT_ACCESSED: yes","X","")</f>
        <v/>
      </c>
      <c r="N11" s="1" t="s">
        <v>25</v>
      </c>
      <c r="O11" s="1" t="s">
        <v>27</v>
      </c>
      <c r="P11" s="1" t="s">
        <v>25</v>
      </c>
      <c r="Q11" s="1" t="s">
        <v>1217</v>
      </c>
      <c r="R11" s="1" t="s">
        <v>28</v>
      </c>
      <c r="S11" s="1" t="str">
        <f>IF(results_context_via_permalink_gpt_5_2025_08_07_with_justification_run1__2[[#This Row],[they_type]]=results_context_via_permalink_gpt_5_2025_08_07_with_justification_run1__2[[#This Row],[LLM_annotation]],"X","")</f>
        <v>X</v>
      </c>
      <c r="T11" s="1" t="s">
        <v>25</v>
      </c>
    </row>
    <row r="12" spans="1:20" x14ac:dyDescent="0.2">
      <c r="A12" s="1" t="s">
        <v>80</v>
      </c>
      <c r="B12" s="1" t="s">
        <v>81</v>
      </c>
      <c r="C12" s="1" t="s">
        <v>82</v>
      </c>
      <c r="D12" s="1" t="s">
        <v>83</v>
      </c>
      <c r="E12" s="1" t="s">
        <v>54</v>
      </c>
      <c r="F12" s="1" t="s">
        <v>84</v>
      </c>
      <c r="G12" s="1" t="s">
        <v>25</v>
      </c>
      <c r="H12">
        <v>16654333710</v>
      </c>
      <c r="I12" s="1" t="s">
        <v>26</v>
      </c>
      <c r="J12" s="1" t="s">
        <v>27</v>
      </c>
      <c r="K12" s="1" t="s">
        <v>36</v>
      </c>
      <c r="L12" s="1" t="s">
        <v>25</v>
      </c>
      <c r="M12" s="1" t="str">
        <f>IF(LEFT(results_context_via_permalink_gpt_5_2025_08_07_with_justification_run1__2[[#This Row],[LLM_response]],21)="CONTEXT_ACCESSED: yes","X","")</f>
        <v>X</v>
      </c>
      <c r="N12" s="1" t="s">
        <v>25</v>
      </c>
      <c r="O12" s="1" t="s">
        <v>25</v>
      </c>
      <c r="P12" s="1" t="s">
        <v>25</v>
      </c>
      <c r="Q12" s="1" t="s">
        <v>1218</v>
      </c>
      <c r="R12" s="1" t="s">
        <v>36</v>
      </c>
      <c r="S12" s="1" t="str">
        <f>IF(results_context_via_permalink_gpt_5_2025_08_07_with_justification_run1__2[[#This Row],[they_type]]=results_context_via_permalink_gpt_5_2025_08_07_with_justification_run1__2[[#This Row],[LLM_annotation]],"X","")</f>
        <v>X</v>
      </c>
      <c r="T12" s="1" t="s">
        <v>25</v>
      </c>
    </row>
    <row r="13" spans="1:20" x14ac:dyDescent="0.2">
      <c r="A13" s="1" t="s">
        <v>85</v>
      </c>
      <c r="B13" s="1" t="s">
        <v>86</v>
      </c>
      <c r="C13" s="1" t="s">
        <v>87</v>
      </c>
      <c r="D13" s="1" t="s">
        <v>88</v>
      </c>
      <c r="E13" s="1" t="s">
        <v>23</v>
      </c>
      <c r="F13" s="1" t="s">
        <v>89</v>
      </c>
      <c r="G13" s="1" t="s">
        <v>25</v>
      </c>
      <c r="H13">
        <v>13280102480</v>
      </c>
      <c r="I13" s="1" t="s">
        <v>35</v>
      </c>
      <c r="J13" s="1" t="s">
        <v>27</v>
      </c>
      <c r="K13" s="1" t="s">
        <v>28</v>
      </c>
      <c r="L13" s="1" t="s">
        <v>25</v>
      </c>
      <c r="M13" s="1" t="str">
        <f>IF(LEFT(results_context_via_permalink_gpt_5_2025_08_07_with_justification_run1__2[[#This Row],[LLM_response]],21)="CONTEXT_ACCESSED: yes","X","")</f>
        <v/>
      </c>
      <c r="N13" s="1" t="s">
        <v>25</v>
      </c>
      <c r="O13" s="1" t="s">
        <v>25</v>
      </c>
      <c r="P13" s="1" t="s">
        <v>25</v>
      </c>
      <c r="Q13" s="1" t="s">
        <v>1219</v>
      </c>
      <c r="R13" s="1" t="s">
        <v>28</v>
      </c>
      <c r="S13" s="1" t="str">
        <f>IF(results_context_via_permalink_gpt_5_2025_08_07_with_justification_run1__2[[#This Row],[they_type]]=results_context_via_permalink_gpt_5_2025_08_07_with_justification_run1__2[[#This Row],[LLM_annotation]],"X","")</f>
        <v>X</v>
      </c>
      <c r="T13" s="1" t="s">
        <v>25</v>
      </c>
    </row>
    <row r="14" spans="1:20" x14ac:dyDescent="0.2">
      <c r="A14" s="1" t="s">
        <v>90</v>
      </c>
      <c r="B14" s="1" t="s">
        <v>91</v>
      </c>
      <c r="C14" s="1" t="s">
        <v>92</v>
      </c>
      <c r="D14" s="1" t="s">
        <v>93</v>
      </c>
      <c r="E14" s="1" t="s">
        <v>54</v>
      </c>
      <c r="F14" s="1" t="s">
        <v>34</v>
      </c>
      <c r="G14" s="1" t="s">
        <v>25</v>
      </c>
      <c r="H14">
        <v>16654651070</v>
      </c>
      <c r="I14" s="1" t="s">
        <v>26</v>
      </c>
      <c r="J14" s="1" t="s">
        <v>27</v>
      </c>
      <c r="K14" s="1" t="s">
        <v>28</v>
      </c>
      <c r="L14" s="1" t="s">
        <v>25</v>
      </c>
      <c r="M14" s="1" t="str">
        <f>IF(LEFT(results_context_via_permalink_gpt_5_2025_08_07_with_justification_run1__2[[#This Row],[LLM_response]],21)="CONTEXT_ACCESSED: yes","X","")</f>
        <v/>
      </c>
      <c r="N14" s="1" t="s">
        <v>25</v>
      </c>
      <c r="O14" s="1" t="s">
        <v>25</v>
      </c>
      <c r="P14" s="1" t="s">
        <v>25</v>
      </c>
      <c r="Q14" s="1" t="s">
        <v>1220</v>
      </c>
      <c r="R14" s="1" t="s">
        <v>28</v>
      </c>
      <c r="S14" s="1" t="str">
        <f>IF(results_context_via_permalink_gpt_5_2025_08_07_with_justification_run1__2[[#This Row],[they_type]]=results_context_via_permalink_gpt_5_2025_08_07_with_justification_run1__2[[#This Row],[LLM_annotation]],"X","")</f>
        <v>X</v>
      </c>
      <c r="T14" s="1" t="s">
        <v>25</v>
      </c>
    </row>
    <row r="15" spans="1:20" x14ac:dyDescent="0.2">
      <c r="A15" s="1" t="s">
        <v>94</v>
      </c>
      <c r="B15" s="1" t="s">
        <v>95</v>
      </c>
      <c r="C15" s="1" t="s">
        <v>96</v>
      </c>
      <c r="D15" s="1" t="s">
        <v>97</v>
      </c>
      <c r="E15" s="1" t="s">
        <v>65</v>
      </c>
      <c r="F15" s="1" t="s">
        <v>98</v>
      </c>
      <c r="G15" s="1" t="s">
        <v>99</v>
      </c>
      <c r="H15">
        <v>16654682690</v>
      </c>
      <c r="I15" s="1" t="s">
        <v>100</v>
      </c>
      <c r="J15" s="1" t="s">
        <v>27</v>
      </c>
      <c r="K15" s="1" t="s">
        <v>36</v>
      </c>
      <c r="L15" s="1" t="s">
        <v>25</v>
      </c>
      <c r="M15" s="1" t="str">
        <f>IF(LEFT(results_context_via_permalink_gpt_5_2025_08_07_with_justification_run1__2[[#This Row],[LLM_response]],21)="CONTEXT_ACCESSED: yes","X","")</f>
        <v>X</v>
      </c>
      <c r="N15" s="1" t="s">
        <v>25</v>
      </c>
      <c r="O15" s="1" t="s">
        <v>25</v>
      </c>
      <c r="P15" s="1" t="s">
        <v>25</v>
      </c>
      <c r="Q15" s="1" t="s">
        <v>1221</v>
      </c>
      <c r="R15" s="1" t="s">
        <v>36</v>
      </c>
      <c r="S15" s="1" t="str">
        <f>IF(results_context_via_permalink_gpt_5_2025_08_07_with_justification_run1__2[[#This Row],[they_type]]=results_context_via_permalink_gpt_5_2025_08_07_with_justification_run1__2[[#This Row],[LLM_annotation]],"X","")</f>
        <v>X</v>
      </c>
      <c r="T15" s="1" t="s">
        <v>25</v>
      </c>
    </row>
    <row r="16" spans="1:20" x14ac:dyDescent="0.2">
      <c r="A16" s="1" t="s">
        <v>101</v>
      </c>
      <c r="B16" s="1" t="s">
        <v>102</v>
      </c>
      <c r="C16" s="1" t="s">
        <v>103</v>
      </c>
      <c r="D16" s="1" t="s">
        <v>104</v>
      </c>
      <c r="E16" s="1" t="s">
        <v>65</v>
      </c>
      <c r="F16" s="1" t="s">
        <v>105</v>
      </c>
      <c r="G16" s="1" t="s">
        <v>25</v>
      </c>
      <c r="H16">
        <v>16655039650</v>
      </c>
      <c r="I16" s="1" t="s">
        <v>42</v>
      </c>
      <c r="J16" s="1" t="s">
        <v>27</v>
      </c>
      <c r="K16" s="1" t="s">
        <v>36</v>
      </c>
      <c r="L16" s="1" t="s">
        <v>25</v>
      </c>
      <c r="M16" s="1" t="str">
        <f>IF(LEFT(results_context_via_permalink_gpt_5_2025_08_07_with_justification_run1__2[[#This Row],[LLM_response]],21)="CONTEXT_ACCESSED: yes","X","")</f>
        <v>X</v>
      </c>
      <c r="N16" s="1" t="s">
        <v>25</v>
      </c>
      <c r="O16" s="1" t="s">
        <v>25</v>
      </c>
      <c r="P16" s="1" t="s">
        <v>25</v>
      </c>
      <c r="Q16" s="1" t="s">
        <v>1222</v>
      </c>
      <c r="R16" s="1" t="s">
        <v>36</v>
      </c>
      <c r="S16" s="1" t="str">
        <f>IF(results_context_via_permalink_gpt_5_2025_08_07_with_justification_run1__2[[#This Row],[they_type]]=results_context_via_permalink_gpt_5_2025_08_07_with_justification_run1__2[[#This Row],[LLM_annotation]],"X","")</f>
        <v>X</v>
      </c>
      <c r="T16" s="1" t="s">
        <v>25</v>
      </c>
    </row>
    <row r="17" spans="1:20" x14ac:dyDescent="0.2">
      <c r="A17" s="1" t="s">
        <v>106</v>
      </c>
      <c r="B17" s="1" t="s">
        <v>107</v>
      </c>
      <c r="C17" s="1" t="s">
        <v>108</v>
      </c>
      <c r="D17" s="1" t="s">
        <v>109</v>
      </c>
      <c r="E17" s="1" t="s">
        <v>33</v>
      </c>
      <c r="F17" s="1" t="s">
        <v>110</v>
      </c>
      <c r="G17" s="1" t="s">
        <v>111</v>
      </c>
      <c r="H17">
        <v>13257675800</v>
      </c>
      <c r="I17" s="1" t="s">
        <v>49</v>
      </c>
      <c r="J17" s="1" t="s">
        <v>27</v>
      </c>
      <c r="K17" s="1" t="s">
        <v>36</v>
      </c>
      <c r="L17" s="1" t="s">
        <v>25</v>
      </c>
      <c r="M17" s="1" t="str">
        <f>IF(LEFT(results_context_via_permalink_gpt_5_2025_08_07_with_justification_run1__2[[#This Row],[LLM_response]],21)="CONTEXT_ACCESSED: yes","X","")</f>
        <v/>
      </c>
      <c r="N17" s="1" t="s">
        <v>25</v>
      </c>
      <c r="O17" s="1" t="s">
        <v>25</v>
      </c>
      <c r="P17" s="1" t="s">
        <v>25</v>
      </c>
      <c r="Q17" s="1" t="s">
        <v>1223</v>
      </c>
      <c r="R17" s="1" t="s">
        <v>28</v>
      </c>
      <c r="S17" s="1" t="str">
        <f>IF(results_context_via_permalink_gpt_5_2025_08_07_with_justification_run1__2[[#This Row],[they_type]]=results_context_via_permalink_gpt_5_2025_08_07_with_justification_run1__2[[#This Row],[LLM_annotation]],"X","")</f>
        <v/>
      </c>
      <c r="T17" s="1" t="s">
        <v>25</v>
      </c>
    </row>
    <row r="18" spans="1:20" x14ac:dyDescent="0.2">
      <c r="A18" s="1" t="s">
        <v>112</v>
      </c>
      <c r="B18" s="1" t="s">
        <v>113</v>
      </c>
      <c r="C18" s="1" t="s">
        <v>114</v>
      </c>
      <c r="D18" s="1" t="s">
        <v>115</v>
      </c>
      <c r="E18" s="1" t="s">
        <v>54</v>
      </c>
      <c r="F18" s="1" t="s">
        <v>116</v>
      </c>
      <c r="G18" s="1" t="s">
        <v>25</v>
      </c>
      <c r="H18">
        <v>16655761030</v>
      </c>
      <c r="I18" s="1" t="s">
        <v>42</v>
      </c>
      <c r="J18" s="1" t="s">
        <v>27</v>
      </c>
      <c r="K18" s="1" t="s">
        <v>36</v>
      </c>
      <c r="L18" s="1" t="s">
        <v>25</v>
      </c>
      <c r="M18" s="1" t="str">
        <f>IF(LEFT(results_context_via_permalink_gpt_5_2025_08_07_with_justification_run1__2[[#This Row],[LLM_response]],21)="CONTEXT_ACCESSED: yes","X","")</f>
        <v>X</v>
      </c>
      <c r="N18" s="1" t="s">
        <v>25</v>
      </c>
      <c r="O18" s="1" t="s">
        <v>25</v>
      </c>
      <c r="P18" s="1" t="s">
        <v>25</v>
      </c>
      <c r="Q18" s="1" t="s">
        <v>1224</v>
      </c>
      <c r="R18" s="1" t="s">
        <v>36</v>
      </c>
      <c r="S18" s="1" t="str">
        <f>IF(results_context_via_permalink_gpt_5_2025_08_07_with_justification_run1__2[[#This Row],[they_type]]=results_context_via_permalink_gpt_5_2025_08_07_with_justification_run1__2[[#This Row],[LLM_annotation]],"X","")</f>
        <v>X</v>
      </c>
      <c r="T18" s="1" t="s">
        <v>25</v>
      </c>
    </row>
    <row r="19" spans="1:20" x14ac:dyDescent="0.2">
      <c r="A19" s="1" t="s">
        <v>117</v>
      </c>
      <c r="B19" s="1" t="s">
        <v>118</v>
      </c>
      <c r="C19" s="1" t="s">
        <v>119</v>
      </c>
      <c r="D19" s="1" t="s">
        <v>120</v>
      </c>
      <c r="E19" s="1" t="s">
        <v>47</v>
      </c>
      <c r="F19" s="1" t="s">
        <v>121</v>
      </c>
      <c r="G19" s="1" t="s">
        <v>122</v>
      </c>
      <c r="H19">
        <v>13286612850</v>
      </c>
      <c r="I19" s="1" t="s">
        <v>123</v>
      </c>
      <c r="J19" s="1" t="s">
        <v>27</v>
      </c>
      <c r="K19" s="1" t="s">
        <v>36</v>
      </c>
      <c r="L19" s="1" t="s">
        <v>25</v>
      </c>
      <c r="M19" s="1" t="str">
        <f>IF(LEFT(results_context_via_permalink_gpt_5_2025_08_07_with_justification_run1__2[[#This Row],[LLM_response]],21)="CONTEXT_ACCESSED: yes","X","")</f>
        <v>X</v>
      </c>
      <c r="N19" s="1" t="s">
        <v>25</v>
      </c>
      <c r="O19" s="1" t="s">
        <v>25</v>
      </c>
      <c r="P19" s="1" t="s">
        <v>25</v>
      </c>
      <c r="Q19" s="1" t="s">
        <v>1225</v>
      </c>
      <c r="R19" s="1" t="s">
        <v>36</v>
      </c>
      <c r="S19" s="1" t="str">
        <f>IF(results_context_via_permalink_gpt_5_2025_08_07_with_justification_run1__2[[#This Row],[they_type]]=results_context_via_permalink_gpt_5_2025_08_07_with_justification_run1__2[[#This Row],[LLM_annotation]],"X","")</f>
        <v>X</v>
      </c>
      <c r="T19" s="1" t="s">
        <v>25</v>
      </c>
    </row>
    <row r="20" spans="1:20" x14ac:dyDescent="0.2">
      <c r="A20" s="1" t="s">
        <v>124</v>
      </c>
      <c r="B20" s="1" t="s">
        <v>125</v>
      </c>
      <c r="C20" s="1" t="s">
        <v>126</v>
      </c>
      <c r="D20" s="1" t="s">
        <v>127</v>
      </c>
      <c r="E20" s="1" t="s">
        <v>128</v>
      </c>
      <c r="F20" s="1" t="s">
        <v>129</v>
      </c>
      <c r="G20" s="1" t="s">
        <v>130</v>
      </c>
      <c r="H20">
        <v>13258114520</v>
      </c>
      <c r="I20" s="1" t="s">
        <v>35</v>
      </c>
      <c r="J20" s="1" t="s">
        <v>27</v>
      </c>
      <c r="K20" s="1" t="s">
        <v>131</v>
      </c>
      <c r="L20" s="1" t="s">
        <v>25</v>
      </c>
      <c r="M20" s="1" t="str">
        <f>IF(LEFT(results_context_via_permalink_gpt_5_2025_08_07_with_justification_run1__2[[#This Row],[LLM_response]],21)="CONTEXT_ACCESSED: yes","X","")</f>
        <v/>
      </c>
      <c r="N20" s="1" t="s">
        <v>25</v>
      </c>
      <c r="O20" s="1" t="s">
        <v>25</v>
      </c>
      <c r="P20" s="1" t="s">
        <v>25</v>
      </c>
      <c r="Q20" s="1" t="s">
        <v>1226</v>
      </c>
      <c r="R20" s="1" t="s">
        <v>131</v>
      </c>
      <c r="S20" s="1" t="str">
        <f>IF(results_context_via_permalink_gpt_5_2025_08_07_with_justification_run1__2[[#This Row],[they_type]]=results_context_via_permalink_gpt_5_2025_08_07_with_justification_run1__2[[#This Row],[LLM_annotation]],"X","")</f>
        <v>X</v>
      </c>
      <c r="T20" s="1" t="s">
        <v>25</v>
      </c>
    </row>
    <row r="21" spans="1:20" x14ac:dyDescent="0.2">
      <c r="A21" s="1" t="s">
        <v>132</v>
      </c>
      <c r="B21" s="1" t="s">
        <v>133</v>
      </c>
      <c r="C21" s="1" t="s">
        <v>134</v>
      </c>
      <c r="D21" s="1" t="s">
        <v>135</v>
      </c>
      <c r="E21" s="1" t="s">
        <v>136</v>
      </c>
      <c r="F21" s="1" t="s">
        <v>137</v>
      </c>
      <c r="G21" s="1" t="s">
        <v>25</v>
      </c>
      <c r="H21">
        <v>16656211350</v>
      </c>
      <c r="I21" s="1" t="s">
        <v>26</v>
      </c>
      <c r="J21" s="1" t="s">
        <v>27</v>
      </c>
      <c r="K21" s="1" t="s">
        <v>28</v>
      </c>
      <c r="L21" s="1" t="s">
        <v>25</v>
      </c>
      <c r="M21" s="1" t="str">
        <f>IF(LEFT(results_context_via_permalink_gpt_5_2025_08_07_with_justification_run1__2[[#This Row],[LLM_response]],21)="CONTEXT_ACCESSED: yes","X","")</f>
        <v>X</v>
      </c>
      <c r="N21" s="1" t="s">
        <v>25</v>
      </c>
      <c r="O21" s="1" t="s">
        <v>25</v>
      </c>
      <c r="P21" s="1" t="s">
        <v>25</v>
      </c>
      <c r="Q21" s="1" t="s">
        <v>1227</v>
      </c>
      <c r="R21" s="1" t="s">
        <v>28</v>
      </c>
      <c r="S21" s="1" t="str">
        <f>IF(results_context_via_permalink_gpt_5_2025_08_07_with_justification_run1__2[[#This Row],[they_type]]=results_context_via_permalink_gpt_5_2025_08_07_with_justification_run1__2[[#This Row],[LLM_annotation]],"X","")</f>
        <v>X</v>
      </c>
      <c r="T21" s="1" t="s">
        <v>25</v>
      </c>
    </row>
    <row r="22" spans="1:20" x14ac:dyDescent="0.2">
      <c r="A22" s="1" t="s">
        <v>138</v>
      </c>
      <c r="B22" s="1" t="s">
        <v>139</v>
      </c>
      <c r="C22" s="1" t="s">
        <v>140</v>
      </c>
      <c r="D22" s="1" t="s">
        <v>141</v>
      </c>
      <c r="E22" s="1" t="s">
        <v>47</v>
      </c>
      <c r="F22" s="1" t="s">
        <v>142</v>
      </c>
      <c r="G22" s="1" t="s">
        <v>25</v>
      </c>
      <c r="H22">
        <v>13287274800</v>
      </c>
      <c r="I22" s="1" t="s">
        <v>123</v>
      </c>
      <c r="J22" s="1" t="s">
        <v>27</v>
      </c>
      <c r="K22" s="1" t="s">
        <v>36</v>
      </c>
      <c r="L22" s="1" t="s">
        <v>25</v>
      </c>
      <c r="M22" s="1" t="str">
        <f>IF(LEFT(results_context_via_permalink_gpt_5_2025_08_07_with_justification_run1__2[[#This Row],[LLM_response]],21)="CONTEXT_ACCESSED: yes","X","")</f>
        <v>X</v>
      </c>
      <c r="N22" s="1" t="s">
        <v>25</v>
      </c>
      <c r="O22" s="1" t="s">
        <v>25</v>
      </c>
      <c r="P22" s="1" t="s">
        <v>25</v>
      </c>
      <c r="Q22" s="1" t="s">
        <v>1228</v>
      </c>
      <c r="R22" s="1" t="s">
        <v>36</v>
      </c>
      <c r="S22" s="1" t="str">
        <f>IF(results_context_via_permalink_gpt_5_2025_08_07_with_justification_run1__2[[#This Row],[they_type]]=results_context_via_permalink_gpt_5_2025_08_07_with_justification_run1__2[[#This Row],[LLM_annotation]],"X","")</f>
        <v>X</v>
      </c>
      <c r="T22" s="1" t="s">
        <v>25</v>
      </c>
    </row>
    <row r="23" spans="1:20" x14ac:dyDescent="0.2">
      <c r="A23" s="1" t="s">
        <v>143</v>
      </c>
      <c r="B23" s="1" t="s">
        <v>144</v>
      </c>
      <c r="C23" s="1" t="s">
        <v>145</v>
      </c>
      <c r="D23" s="1" t="s">
        <v>146</v>
      </c>
      <c r="E23" s="1" t="s">
        <v>54</v>
      </c>
      <c r="F23" s="1" t="s">
        <v>147</v>
      </c>
      <c r="G23" s="1" t="s">
        <v>25</v>
      </c>
      <c r="H23">
        <v>16656463140</v>
      </c>
      <c r="I23" s="1" t="s">
        <v>148</v>
      </c>
      <c r="J23" s="1" t="s">
        <v>27</v>
      </c>
      <c r="K23" s="1" t="s">
        <v>36</v>
      </c>
      <c r="L23" s="1" t="s">
        <v>27</v>
      </c>
      <c r="M23" s="1" t="str">
        <f>IF(LEFT(results_context_via_permalink_gpt_5_2025_08_07_with_justification_run1__2[[#This Row],[LLM_response]],21)="CONTEXT_ACCESSED: yes","X","")</f>
        <v>X</v>
      </c>
      <c r="N23" s="1" t="s">
        <v>25</v>
      </c>
      <c r="O23" s="1" t="s">
        <v>25</v>
      </c>
      <c r="P23" s="1" t="s">
        <v>25</v>
      </c>
      <c r="Q23" s="1" t="s">
        <v>1229</v>
      </c>
      <c r="R23" s="1" t="s">
        <v>28</v>
      </c>
      <c r="S23" s="1" t="str">
        <f>IF(results_context_via_permalink_gpt_5_2025_08_07_with_justification_run1__2[[#This Row],[they_type]]=results_context_via_permalink_gpt_5_2025_08_07_with_justification_run1__2[[#This Row],[LLM_annotation]],"X","")</f>
        <v/>
      </c>
      <c r="T23" s="1" t="s">
        <v>25</v>
      </c>
    </row>
    <row r="24" spans="1:20" x14ac:dyDescent="0.2">
      <c r="A24" s="1" t="s">
        <v>149</v>
      </c>
      <c r="B24" s="1" t="s">
        <v>150</v>
      </c>
      <c r="C24" s="1" t="s">
        <v>151</v>
      </c>
      <c r="D24" s="1" t="s">
        <v>152</v>
      </c>
      <c r="E24" s="1" t="s">
        <v>65</v>
      </c>
      <c r="F24" s="1" t="s">
        <v>25</v>
      </c>
      <c r="G24" s="1" t="s">
        <v>25</v>
      </c>
      <c r="I24" s="1" t="s">
        <v>26</v>
      </c>
      <c r="J24" s="1" t="s">
        <v>27</v>
      </c>
      <c r="K24" s="1" t="s">
        <v>28</v>
      </c>
      <c r="L24" s="1" t="s">
        <v>25</v>
      </c>
      <c r="M24" s="1" t="str">
        <f>IF(LEFT(results_context_via_permalink_gpt_5_2025_08_07_with_justification_run1__2[[#This Row],[LLM_response]],21)="CONTEXT_ACCESSED: yes","X","")</f>
        <v>X</v>
      </c>
      <c r="N24" s="1" t="s">
        <v>25</v>
      </c>
      <c r="O24" s="1" t="s">
        <v>25</v>
      </c>
      <c r="P24" s="1" t="s">
        <v>25</v>
      </c>
      <c r="Q24" s="1" t="s">
        <v>1230</v>
      </c>
      <c r="R24" s="1" t="s">
        <v>36</v>
      </c>
      <c r="S24" s="1" t="str">
        <f>IF(results_context_via_permalink_gpt_5_2025_08_07_with_justification_run1__2[[#This Row],[they_type]]=results_context_via_permalink_gpt_5_2025_08_07_with_justification_run1__2[[#This Row],[LLM_annotation]],"X","")</f>
        <v/>
      </c>
      <c r="T24" s="1" t="s">
        <v>25</v>
      </c>
    </row>
    <row r="25" spans="1:20" x14ac:dyDescent="0.2">
      <c r="A25" s="1" t="s">
        <v>153</v>
      </c>
      <c r="B25" s="1" t="s">
        <v>154</v>
      </c>
      <c r="C25" s="1" t="s">
        <v>155</v>
      </c>
      <c r="D25" s="1" t="s">
        <v>156</v>
      </c>
      <c r="E25" s="1" t="s">
        <v>47</v>
      </c>
      <c r="F25" s="1" t="s">
        <v>157</v>
      </c>
      <c r="G25" s="1" t="s">
        <v>158</v>
      </c>
      <c r="H25">
        <v>13258295750</v>
      </c>
      <c r="I25" s="1" t="s">
        <v>49</v>
      </c>
      <c r="J25" s="1" t="s">
        <v>27</v>
      </c>
      <c r="K25" s="1" t="s">
        <v>131</v>
      </c>
      <c r="L25" s="1" t="s">
        <v>27</v>
      </c>
      <c r="M25" s="1" t="str">
        <f>IF(LEFT(results_context_via_permalink_gpt_5_2025_08_07_with_justification_run1__2[[#This Row],[LLM_response]],21)="CONTEXT_ACCESSED: yes","X","")</f>
        <v>X</v>
      </c>
      <c r="N25" s="1" t="s">
        <v>25</v>
      </c>
      <c r="O25" s="1" t="s">
        <v>25</v>
      </c>
      <c r="P25" s="1" t="s">
        <v>27</v>
      </c>
      <c r="Q25" s="1" t="s">
        <v>1231</v>
      </c>
      <c r="R25" s="1" t="s">
        <v>131</v>
      </c>
      <c r="S25" s="1" t="str">
        <f>IF(results_context_via_permalink_gpt_5_2025_08_07_with_justification_run1__2[[#This Row],[they_type]]=results_context_via_permalink_gpt_5_2025_08_07_with_justification_run1__2[[#This Row],[LLM_annotation]],"X","")</f>
        <v>X</v>
      </c>
      <c r="T25" s="1" t="s">
        <v>25</v>
      </c>
    </row>
    <row r="26" spans="1:20" x14ac:dyDescent="0.2">
      <c r="A26" s="1" t="s">
        <v>159</v>
      </c>
      <c r="B26" s="1" t="s">
        <v>160</v>
      </c>
      <c r="C26" s="1" t="s">
        <v>161</v>
      </c>
      <c r="D26" s="1" t="s">
        <v>162</v>
      </c>
      <c r="E26" s="1" t="s">
        <v>54</v>
      </c>
      <c r="F26" s="1" t="s">
        <v>163</v>
      </c>
      <c r="G26" s="1" t="s">
        <v>25</v>
      </c>
      <c r="H26">
        <v>16656693400</v>
      </c>
      <c r="I26" s="1" t="s">
        <v>42</v>
      </c>
      <c r="J26" s="1" t="s">
        <v>27</v>
      </c>
      <c r="K26" s="1" t="s">
        <v>28</v>
      </c>
      <c r="L26" s="1" t="s">
        <v>25</v>
      </c>
      <c r="M26" s="1" t="str">
        <f>IF(LEFT(results_context_via_permalink_gpt_5_2025_08_07_with_justification_run1__2[[#This Row],[LLM_response]],21)="CONTEXT_ACCESSED: yes","X","")</f>
        <v>X</v>
      </c>
      <c r="N26" s="1" t="s">
        <v>25</v>
      </c>
      <c r="O26" s="1" t="s">
        <v>27</v>
      </c>
      <c r="P26" s="1" t="s">
        <v>25</v>
      </c>
      <c r="Q26" s="1" t="s">
        <v>1232</v>
      </c>
      <c r="R26" s="1" t="s">
        <v>28</v>
      </c>
      <c r="S26" s="1" t="str">
        <f>IF(results_context_via_permalink_gpt_5_2025_08_07_with_justification_run1__2[[#This Row],[they_type]]=results_context_via_permalink_gpt_5_2025_08_07_with_justification_run1__2[[#This Row],[LLM_annotation]],"X","")</f>
        <v>X</v>
      </c>
      <c r="T26" s="1" t="s">
        <v>25</v>
      </c>
    </row>
    <row r="27" spans="1:20" x14ac:dyDescent="0.2">
      <c r="A27" s="1" t="s">
        <v>164</v>
      </c>
      <c r="B27" s="1" t="s">
        <v>165</v>
      </c>
      <c r="C27" s="1" t="s">
        <v>166</v>
      </c>
      <c r="D27" s="1" t="s">
        <v>167</v>
      </c>
      <c r="E27" s="1" t="s">
        <v>65</v>
      </c>
      <c r="F27" s="1" t="s">
        <v>168</v>
      </c>
      <c r="G27" s="1" t="s">
        <v>25</v>
      </c>
      <c r="H27">
        <v>16656936160</v>
      </c>
      <c r="I27" s="1" t="s">
        <v>100</v>
      </c>
      <c r="J27" s="1" t="s">
        <v>27</v>
      </c>
      <c r="K27" s="1" t="s">
        <v>36</v>
      </c>
      <c r="L27" s="1" t="s">
        <v>27</v>
      </c>
      <c r="M27" s="1" t="str">
        <f>IF(LEFT(results_context_via_permalink_gpt_5_2025_08_07_with_justification_run1__2[[#This Row],[LLM_response]],21)="CONTEXT_ACCESSED: yes","X","")</f>
        <v>X</v>
      </c>
      <c r="N27" s="1" t="s">
        <v>25</v>
      </c>
      <c r="O27" s="1" t="s">
        <v>25</v>
      </c>
      <c r="P27" s="1" t="s">
        <v>25</v>
      </c>
      <c r="Q27" s="1" t="s">
        <v>1233</v>
      </c>
      <c r="R27" s="1" t="s">
        <v>28</v>
      </c>
      <c r="S27" s="1" t="str">
        <f>IF(results_context_via_permalink_gpt_5_2025_08_07_with_justification_run1__2[[#This Row],[they_type]]=results_context_via_permalink_gpt_5_2025_08_07_with_justification_run1__2[[#This Row],[LLM_annotation]],"X","")</f>
        <v/>
      </c>
      <c r="T27" s="1" t="s">
        <v>25</v>
      </c>
    </row>
    <row r="28" spans="1:20" x14ac:dyDescent="0.2">
      <c r="A28" s="1" t="s">
        <v>169</v>
      </c>
      <c r="B28" s="1" t="s">
        <v>170</v>
      </c>
      <c r="C28" s="1" t="s">
        <v>171</v>
      </c>
      <c r="D28" s="1" t="s">
        <v>172</v>
      </c>
      <c r="E28" s="1" t="s">
        <v>47</v>
      </c>
      <c r="F28" s="1" t="s">
        <v>173</v>
      </c>
      <c r="G28" s="1" t="s">
        <v>25</v>
      </c>
      <c r="H28">
        <v>13293878610</v>
      </c>
      <c r="I28" s="1" t="s">
        <v>123</v>
      </c>
      <c r="J28" s="1" t="s">
        <v>27</v>
      </c>
      <c r="K28" s="1" t="s">
        <v>36</v>
      </c>
      <c r="L28" s="1" t="s">
        <v>27</v>
      </c>
      <c r="M28" s="1" t="str">
        <f>IF(LEFT(results_context_via_permalink_gpt_5_2025_08_07_with_justification_run1__2[[#This Row],[LLM_response]],21)="CONTEXT_ACCESSED: yes","X","")</f>
        <v/>
      </c>
      <c r="N28" s="1" t="s">
        <v>25</v>
      </c>
      <c r="O28" s="1" t="s">
        <v>25</v>
      </c>
      <c r="P28" s="1" t="s">
        <v>25</v>
      </c>
      <c r="Q28" s="1" t="s">
        <v>1234</v>
      </c>
      <c r="R28" s="1" t="s">
        <v>28</v>
      </c>
      <c r="S28" s="1" t="str">
        <f>IF(results_context_via_permalink_gpt_5_2025_08_07_with_justification_run1__2[[#This Row],[they_type]]=results_context_via_permalink_gpt_5_2025_08_07_with_justification_run1__2[[#This Row],[LLM_annotation]],"X","")</f>
        <v/>
      </c>
      <c r="T28" s="1" t="s">
        <v>25</v>
      </c>
    </row>
    <row r="29" spans="1:20" x14ac:dyDescent="0.2">
      <c r="A29" s="1" t="s">
        <v>174</v>
      </c>
      <c r="B29" s="1" t="s">
        <v>175</v>
      </c>
      <c r="C29" s="1" t="s">
        <v>176</v>
      </c>
      <c r="D29" s="1" t="s">
        <v>177</v>
      </c>
      <c r="E29" s="1" t="s">
        <v>65</v>
      </c>
      <c r="F29" s="1" t="s">
        <v>178</v>
      </c>
      <c r="G29" s="1" t="s">
        <v>25</v>
      </c>
      <c r="H29">
        <v>16658509840</v>
      </c>
      <c r="I29" s="1" t="s">
        <v>26</v>
      </c>
      <c r="J29" s="1" t="s">
        <v>27</v>
      </c>
      <c r="K29" s="1" t="s">
        <v>28</v>
      </c>
      <c r="L29" s="1" t="s">
        <v>25</v>
      </c>
      <c r="M29" s="1" t="str">
        <f>IF(LEFT(results_context_via_permalink_gpt_5_2025_08_07_with_justification_run1__2[[#This Row],[LLM_response]],21)="CONTEXT_ACCESSED: yes","X","")</f>
        <v>X</v>
      </c>
      <c r="N29" s="1" t="s">
        <v>25</v>
      </c>
      <c r="O29" s="1" t="s">
        <v>25</v>
      </c>
      <c r="P29" s="1" t="s">
        <v>25</v>
      </c>
      <c r="Q29" s="1" t="s">
        <v>1235</v>
      </c>
      <c r="R29" s="1" t="s">
        <v>28</v>
      </c>
      <c r="S29" s="1" t="str">
        <f>IF(results_context_via_permalink_gpt_5_2025_08_07_with_justification_run1__2[[#This Row],[they_type]]=results_context_via_permalink_gpt_5_2025_08_07_with_justification_run1__2[[#This Row],[LLM_annotation]],"X","")</f>
        <v>X</v>
      </c>
      <c r="T29" s="1" t="s">
        <v>25</v>
      </c>
    </row>
    <row r="30" spans="1:20" x14ac:dyDescent="0.2">
      <c r="A30" s="1" t="s">
        <v>207</v>
      </c>
      <c r="B30" s="1" t="s">
        <v>208</v>
      </c>
      <c r="C30" s="1" t="s">
        <v>209</v>
      </c>
      <c r="D30" s="1" t="s">
        <v>210</v>
      </c>
      <c r="E30" s="1" t="s">
        <v>128</v>
      </c>
      <c r="F30" s="1" t="s">
        <v>211</v>
      </c>
      <c r="G30" s="1" t="s">
        <v>25</v>
      </c>
      <c r="H30">
        <v>16647310090</v>
      </c>
      <c r="I30" s="1" t="s">
        <v>42</v>
      </c>
      <c r="J30" s="1" t="s">
        <v>27</v>
      </c>
      <c r="K30" s="1" t="s">
        <v>28</v>
      </c>
      <c r="L30" s="1" t="s">
        <v>25</v>
      </c>
      <c r="M30" s="1" t="str">
        <f>IF(LEFT(results_context_via_permalink_gpt_5_2025_08_07_with_justification_run1__2[[#This Row],[LLM_response]],21)="CONTEXT_ACCESSED: yes","X","")</f>
        <v>X</v>
      </c>
      <c r="N30" s="1" t="s">
        <v>25</v>
      </c>
      <c r="O30" s="1" t="s">
        <v>25</v>
      </c>
      <c r="P30" s="1" t="s">
        <v>25</v>
      </c>
      <c r="Q30" s="1" t="s">
        <v>1236</v>
      </c>
      <c r="R30" s="1" t="s">
        <v>28</v>
      </c>
      <c r="S30" s="1" t="str">
        <f>IF(results_context_via_permalink_gpt_5_2025_08_07_with_justification_run1__2[[#This Row],[they_type]]=results_context_via_permalink_gpt_5_2025_08_07_with_justification_run1__2[[#This Row],[LLM_annotation]],"X","")</f>
        <v>X</v>
      </c>
      <c r="T30" s="1" t="s">
        <v>25</v>
      </c>
    </row>
    <row r="31" spans="1:20" x14ac:dyDescent="0.2">
      <c r="A31" s="1" t="s">
        <v>213</v>
      </c>
      <c r="B31" s="1" t="s">
        <v>214</v>
      </c>
      <c r="C31" s="1" t="s">
        <v>215</v>
      </c>
      <c r="D31" s="1" t="s">
        <v>216</v>
      </c>
      <c r="E31" s="1" t="s">
        <v>128</v>
      </c>
      <c r="F31" s="1" t="s">
        <v>217</v>
      </c>
      <c r="G31" s="1" t="s">
        <v>25</v>
      </c>
      <c r="H31">
        <v>13260105370</v>
      </c>
      <c r="I31" s="1" t="s">
        <v>35</v>
      </c>
      <c r="J31" s="1" t="s">
        <v>27</v>
      </c>
      <c r="K31" s="1" t="s">
        <v>36</v>
      </c>
      <c r="L31" s="1" t="s">
        <v>27</v>
      </c>
      <c r="M31" s="1" t="str">
        <f>IF(LEFT(results_context_via_permalink_gpt_5_2025_08_07_with_justification_run1__2[[#This Row],[LLM_response]],21)="CONTEXT_ACCESSED: yes","X","")</f>
        <v>X</v>
      </c>
      <c r="N31" s="1" t="s">
        <v>25</v>
      </c>
      <c r="O31" s="1" t="s">
        <v>25</v>
      </c>
      <c r="P31" s="1" t="s">
        <v>25</v>
      </c>
      <c r="Q31" s="1" t="s">
        <v>1237</v>
      </c>
      <c r="R31" s="1" t="s">
        <v>131</v>
      </c>
      <c r="S31" s="1" t="str">
        <f>IF(results_context_via_permalink_gpt_5_2025_08_07_with_justification_run1__2[[#This Row],[they_type]]=results_context_via_permalink_gpt_5_2025_08_07_with_justification_run1__2[[#This Row],[LLM_annotation]],"X","")</f>
        <v/>
      </c>
      <c r="T31" s="1" t="s">
        <v>25</v>
      </c>
    </row>
    <row r="32" spans="1:20" x14ac:dyDescent="0.2">
      <c r="A32" s="1" t="s">
        <v>219</v>
      </c>
      <c r="B32" s="1" t="s">
        <v>220</v>
      </c>
      <c r="C32" s="1" t="s">
        <v>221</v>
      </c>
      <c r="D32" s="1" t="s">
        <v>222</v>
      </c>
      <c r="E32" s="1" t="s">
        <v>23</v>
      </c>
      <c r="F32" s="1" t="s">
        <v>223</v>
      </c>
      <c r="G32" s="1" t="s">
        <v>25</v>
      </c>
      <c r="H32">
        <v>13303048810</v>
      </c>
      <c r="I32" s="1" t="s">
        <v>123</v>
      </c>
      <c r="J32" s="1" t="s">
        <v>27</v>
      </c>
      <c r="K32" s="1" t="s">
        <v>28</v>
      </c>
      <c r="L32" s="1" t="s">
        <v>25</v>
      </c>
      <c r="M32" s="1" t="str">
        <f>IF(LEFT(results_context_via_permalink_gpt_5_2025_08_07_with_justification_run1__2[[#This Row],[LLM_response]],21)="CONTEXT_ACCESSED: yes","X","")</f>
        <v/>
      </c>
      <c r="N32" s="1" t="s">
        <v>25</v>
      </c>
      <c r="O32" s="1" t="s">
        <v>25</v>
      </c>
      <c r="P32" s="1" t="s">
        <v>25</v>
      </c>
      <c r="Q32" s="1" t="s">
        <v>1238</v>
      </c>
      <c r="R32" s="1" t="s">
        <v>28</v>
      </c>
      <c r="S32" s="1" t="str">
        <f>IF(results_context_via_permalink_gpt_5_2025_08_07_with_justification_run1__2[[#This Row],[they_type]]=results_context_via_permalink_gpt_5_2025_08_07_with_justification_run1__2[[#This Row],[LLM_annotation]],"X","")</f>
        <v>X</v>
      </c>
      <c r="T32" s="1" t="s">
        <v>25</v>
      </c>
    </row>
    <row r="33" spans="1:20" x14ac:dyDescent="0.2">
      <c r="A33" s="1" t="s">
        <v>225</v>
      </c>
      <c r="B33" s="1" t="s">
        <v>226</v>
      </c>
      <c r="C33" s="1" t="s">
        <v>227</v>
      </c>
      <c r="D33" s="1" t="s">
        <v>228</v>
      </c>
      <c r="E33" s="1" t="s">
        <v>128</v>
      </c>
      <c r="F33" s="1" t="s">
        <v>229</v>
      </c>
      <c r="G33" s="1" t="s">
        <v>230</v>
      </c>
      <c r="H33">
        <v>13304127030</v>
      </c>
      <c r="I33" s="1" t="s">
        <v>123</v>
      </c>
      <c r="J33" s="1" t="s">
        <v>27</v>
      </c>
      <c r="K33" s="1" t="s">
        <v>131</v>
      </c>
      <c r="L33" s="1" t="s">
        <v>27</v>
      </c>
      <c r="M33" s="1" t="str">
        <f>IF(LEFT(results_context_via_permalink_gpt_5_2025_08_07_with_justification_run1__2[[#This Row],[LLM_response]],21)="CONTEXT_ACCESSED: yes","X","")</f>
        <v>X</v>
      </c>
      <c r="N33" s="1" t="s">
        <v>25</v>
      </c>
      <c r="O33" s="1" t="s">
        <v>25</v>
      </c>
      <c r="P33" s="1" t="s">
        <v>25</v>
      </c>
      <c r="Q33" s="1" t="s">
        <v>1239</v>
      </c>
      <c r="R33" s="1" t="s">
        <v>131</v>
      </c>
      <c r="S33" s="1" t="str">
        <f>IF(results_context_via_permalink_gpt_5_2025_08_07_with_justification_run1__2[[#This Row],[they_type]]=results_context_via_permalink_gpt_5_2025_08_07_with_justification_run1__2[[#This Row],[LLM_annotation]],"X","")</f>
        <v>X</v>
      </c>
      <c r="T33" s="1" t="s">
        <v>25</v>
      </c>
    </row>
    <row r="34" spans="1:20" x14ac:dyDescent="0.2">
      <c r="A34" s="1" t="s">
        <v>232</v>
      </c>
      <c r="B34" s="1" t="s">
        <v>233</v>
      </c>
      <c r="C34" s="1" t="s">
        <v>234</v>
      </c>
      <c r="D34" s="1" t="s">
        <v>235</v>
      </c>
      <c r="E34" s="1" t="s">
        <v>54</v>
      </c>
      <c r="F34" s="1" t="s">
        <v>236</v>
      </c>
      <c r="G34" s="1" t="s">
        <v>25</v>
      </c>
      <c r="H34">
        <v>16647469980</v>
      </c>
      <c r="I34" s="1" t="s">
        <v>42</v>
      </c>
      <c r="J34" s="1" t="s">
        <v>27</v>
      </c>
      <c r="K34" s="1" t="s">
        <v>36</v>
      </c>
      <c r="L34" s="1" t="s">
        <v>25</v>
      </c>
      <c r="M34" s="1" t="str">
        <f>IF(LEFT(results_context_via_permalink_gpt_5_2025_08_07_with_justification_run1__2[[#This Row],[LLM_response]],21)="CONTEXT_ACCESSED: yes","X","")</f>
        <v/>
      </c>
      <c r="N34" s="1" t="s">
        <v>25</v>
      </c>
      <c r="O34" s="1" t="s">
        <v>25</v>
      </c>
      <c r="P34" s="1" t="s">
        <v>25</v>
      </c>
      <c r="Q34" s="1" t="s">
        <v>1240</v>
      </c>
      <c r="R34" s="1" t="s">
        <v>36</v>
      </c>
      <c r="S34" s="1" t="str">
        <f>IF(results_context_via_permalink_gpt_5_2025_08_07_with_justification_run1__2[[#This Row],[they_type]]=results_context_via_permalink_gpt_5_2025_08_07_with_justification_run1__2[[#This Row],[LLM_annotation]],"X","")</f>
        <v>X</v>
      </c>
      <c r="T34" s="1" t="s">
        <v>25</v>
      </c>
    </row>
    <row r="35" spans="1:20" x14ac:dyDescent="0.2">
      <c r="A35" s="1" t="s">
        <v>238</v>
      </c>
      <c r="B35" s="1" t="s">
        <v>239</v>
      </c>
      <c r="C35" s="1" t="s">
        <v>240</v>
      </c>
      <c r="D35" s="1" t="s">
        <v>241</v>
      </c>
      <c r="E35" s="1" t="s">
        <v>47</v>
      </c>
      <c r="F35" s="1" t="s">
        <v>242</v>
      </c>
      <c r="G35" s="1" t="s">
        <v>25</v>
      </c>
      <c r="H35">
        <v>13254994910</v>
      </c>
      <c r="I35" s="1" t="s">
        <v>49</v>
      </c>
      <c r="J35" s="1" t="s">
        <v>27</v>
      </c>
      <c r="K35" s="1" t="s">
        <v>28</v>
      </c>
      <c r="L35" s="1" t="s">
        <v>25</v>
      </c>
      <c r="M35" s="1" t="str">
        <f>IF(LEFT(results_context_via_permalink_gpt_5_2025_08_07_with_justification_run1__2[[#This Row],[LLM_response]],21)="CONTEXT_ACCESSED: yes","X","")</f>
        <v/>
      </c>
      <c r="N35" s="1" t="s">
        <v>25</v>
      </c>
      <c r="O35" s="1" t="s">
        <v>25</v>
      </c>
      <c r="P35" s="1" t="s">
        <v>25</v>
      </c>
      <c r="Q35" s="1" t="s">
        <v>1241</v>
      </c>
      <c r="R35" s="1" t="s">
        <v>28</v>
      </c>
      <c r="S35" s="1" t="str">
        <f>IF(results_context_via_permalink_gpt_5_2025_08_07_with_justification_run1__2[[#This Row],[they_type]]=results_context_via_permalink_gpt_5_2025_08_07_with_justification_run1__2[[#This Row],[LLM_annotation]],"X","")</f>
        <v>X</v>
      </c>
      <c r="T35" s="1" t="s">
        <v>25</v>
      </c>
    </row>
    <row r="36" spans="1:20" x14ac:dyDescent="0.2">
      <c r="A36" s="1" t="s">
        <v>244</v>
      </c>
      <c r="B36" s="1" t="s">
        <v>76</v>
      </c>
      <c r="C36" s="1" t="s">
        <v>245</v>
      </c>
      <c r="D36" s="1" t="s">
        <v>246</v>
      </c>
      <c r="E36" s="1" t="s">
        <v>47</v>
      </c>
      <c r="F36" s="1" t="s">
        <v>247</v>
      </c>
      <c r="G36" s="1" t="s">
        <v>25</v>
      </c>
      <c r="H36">
        <v>16647526570</v>
      </c>
      <c r="I36" s="1" t="s">
        <v>100</v>
      </c>
      <c r="J36" s="1" t="s">
        <v>27</v>
      </c>
      <c r="K36" s="1" t="s">
        <v>28</v>
      </c>
      <c r="L36" s="1" t="s">
        <v>25</v>
      </c>
      <c r="M36" s="1" t="str">
        <f>IF(LEFT(results_context_via_permalink_gpt_5_2025_08_07_with_justification_run1__2[[#This Row],[LLM_response]],21)="CONTEXT_ACCESSED: yes","X","")</f>
        <v>X</v>
      </c>
      <c r="N36" s="1" t="s">
        <v>25</v>
      </c>
      <c r="O36" s="1" t="s">
        <v>25</v>
      </c>
      <c r="P36" s="1" t="s">
        <v>25</v>
      </c>
      <c r="Q36" s="1" t="s">
        <v>1242</v>
      </c>
      <c r="R36" s="1" t="s">
        <v>28</v>
      </c>
      <c r="S36" s="1" t="str">
        <f>IF(results_context_via_permalink_gpt_5_2025_08_07_with_justification_run1__2[[#This Row],[they_type]]=results_context_via_permalink_gpt_5_2025_08_07_with_justification_run1__2[[#This Row],[LLM_annotation]],"X","")</f>
        <v>X</v>
      </c>
      <c r="T36" s="1" t="s">
        <v>25</v>
      </c>
    </row>
    <row r="37" spans="1:20" x14ac:dyDescent="0.2">
      <c r="A37" s="1" t="s">
        <v>249</v>
      </c>
      <c r="B37" s="1" t="s">
        <v>250</v>
      </c>
      <c r="C37" s="1" t="s">
        <v>251</v>
      </c>
      <c r="D37" s="1" t="s">
        <v>252</v>
      </c>
      <c r="E37" s="1" t="s">
        <v>33</v>
      </c>
      <c r="F37" s="1" t="s">
        <v>253</v>
      </c>
      <c r="G37" s="1" t="s">
        <v>25</v>
      </c>
      <c r="H37">
        <v>16662098760</v>
      </c>
      <c r="I37" s="1" t="s">
        <v>148</v>
      </c>
      <c r="J37" s="1" t="s">
        <v>27</v>
      </c>
      <c r="K37" s="1" t="s">
        <v>28</v>
      </c>
      <c r="L37" s="1" t="s">
        <v>25</v>
      </c>
      <c r="M37" s="1" t="str">
        <f>IF(LEFT(results_context_via_permalink_gpt_5_2025_08_07_with_justification_run1__2[[#This Row],[LLM_response]],21)="CONTEXT_ACCESSED: yes","X","")</f>
        <v/>
      </c>
      <c r="N37" s="1" t="s">
        <v>25</v>
      </c>
      <c r="O37" s="1" t="s">
        <v>25</v>
      </c>
      <c r="P37" s="1" t="s">
        <v>25</v>
      </c>
      <c r="Q37" s="1" t="s">
        <v>1243</v>
      </c>
      <c r="R37" s="1" t="s">
        <v>28</v>
      </c>
      <c r="S37" s="1" t="str">
        <f>IF(results_context_via_permalink_gpt_5_2025_08_07_with_justification_run1__2[[#This Row],[they_type]]=results_context_via_permalink_gpt_5_2025_08_07_with_justification_run1__2[[#This Row],[LLM_annotation]],"X","")</f>
        <v>X</v>
      </c>
      <c r="T37" s="1" t="s">
        <v>25</v>
      </c>
    </row>
    <row r="38" spans="1:20" x14ac:dyDescent="0.2">
      <c r="A38" s="1" t="s">
        <v>255</v>
      </c>
      <c r="B38" s="1" t="s">
        <v>256</v>
      </c>
      <c r="C38" s="1" t="s">
        <v>257</v>
      </c>
      <c r="D38" s="1" t="s">
        <v>258</v>
      </c>
      <c r="E38" s="1" t="s">
        <v>23</v>
      </c>
      <c r="F38" s="1" t="s">
        <v>259</v>
      </c>
      <c r="G38" s="1" t="s">
        <v>25</v>
      </c>
      <c r="H38">
        <v>16647639980</v>
      </c>
      <c r="I38" s="1" t="s">
        <v>26</v>
      </c>
      <c r="J38" s="1" t="s">
        <v>27</v>
      </c>
      <c r="K38" s="1" t="s">
        <v>36</v>
      </c>
      <c r="L38" s="1" t="s">
        <v>27</v>
      </c>
      <c r="M38" s="1" t="str">
        <f>IF(LEFT(results_context_via_permalink_gpt_5_2025_08_07_with_justification_run1__2[[#This Row],[LLM_response]],21)="CONTEXT_ACCESSED: yes","X","")</f>
        <v/>
      </c>
      <c r="N38" s="1" t="s">
        <v>25</v>
      </c>
      <c r="O38" s="1" t="s">
        <v>25</v>
      </c>
      <c r="P38" s="1" t="s">
        <v>25</v>
      </c>
      <c r="Q38" s="1" t="s">
        <v>1244</v>
      </c>
      <c r="R38" s="1" t="s">
        <v>36</v>
      </c>
      <c r="S38" s="1" t="str">
        <f>IF(results_context_via_permalink_gpt_5_2025_08_07_with_justification_run1__2[[#This Row],[they_type]]=results_context_via_permalink_gpt_5_2025_08_07_with_justification_run1__2[[#This Row],[LLM_annotation]],"X","")</f>
        <v>X</v>
      </c>
      <c r="T38" s="1" t="s">
        <v>25</v>
      </c>
    </row>
    <row r="39" spans="1:20" x14ac:dyDescent="0.2">
      <c r="A39" s="1" t="s">
        <v>261</v>
      </c>
      <c r="B39" s="1" t="s">
        <v>262</v>
      </c>
      <c r="C39" s="1" t="s">
        <v>263</v>
      </c>
      <c r="D39" s="1" t="s">
        <v>264</v>
      </c>
      <c r="E39" s="1" t="s">
        <v>54</v>
      </c>
      <c r="F39" s="1" t="s">
        <v>265</v>
      </c>
      <c r="G39" s="1" t="s">
        <v>25</v>
      </c>
      <c r="H39">
        <v>16648030520</v>
      </c>
      <c r="I39" s="1" t="s">
        <v>100</v>
      </c>
      <c r="J39" s="1" t="s">
        <v>27</v>
      </c>
      <c r="K39" s="1" t="s">
        <v>36</v>
      </c>
      <c r="L39" s="1" t="s">
        <v>25</v>
      </c>
      <c r="M39" s="1" t="str">
        <f>IF(LEFT(results_context_via_permalink_gpt_5_2025_08_07_with_justification_run1__2[[#This Row],[LLM_response]],21)="CONTEXT_ACCESSED: yes","X","")</f>
        <v/>
      </c>
      <c r="N39" s="1" t="s">
        <v>25</v>
      </c>
      <c r="O39" s="1" t="s">
        <v>25</v>
      </c>
      <c r="P39" s="1" t="s">
        <v>25</v>
      </c>
      <c r="Q39" s="1" t="s">
        <v>1245</v>
      </c>
      <c r="R39" s="1" t="s">
        <v>36</v>
      </c>
      <c r="S39" s="1" t="str">
        <f>IF(results_context_via_permalink_gpt_5_2025_08_07_with_justification_run1__2[[#This Row],[they_type]]=results_context_via_permalink_gpt_5_2025_08_07_with_justification_run1__2[[#This Row],[LLM_annotation]],"X","")</f>
        <v>X</v>
      </c>
      <c r="T39" s="1" t="s">
        <v>25</v>
      </c>
    </row>
    <row r="40" spans="1:20" x14ac:dyDescent="0.2">
      <c r="A40" s="1" t="s">
        <v>267</v>
      </c>
      <c r="B40" s="1" t="s">
        <v>268</v>
      </c>
      <c r="C40" s="1" t="s">
        <v>269</v>
      </c>
      <c r="D40" s="1" t="s">
        <v>270</v>
      </c>
      <c r="E40" s="1" t="s">
        <v>65</v>
      </c>
      <c r="F40" s="1" t="s">
        <v>271</v>
      </c>
      <c r="G40" s="1" t="s">
        <v>99</v>
      </c>
      <c r="H40">
        <v>16666160420</v>
      </c>
      <c r="I40" s="1" t="s">
        <v>26</v>
      </c>
      <c r="J40" s="1" t="s">
        <v>27</v>
      </c>
      <c r="K40" s="1" t="s">
        <v>28</v>
      </c>
      <c r="L40" s="1" t="s">
        <v>27</v>
      </c>
      <c r="M40" s="1" t="str">
        <f>IF(LEFT(results_context_via_permalink_gpt_5_2025_08_07_with_justification_run1__2[[#This Row],[LLM_response]],21)="CONTEXT_ACCESSED: yes","X","")</f>
        <v/>
      </c>
      <c r="N40" s="1" t="s">
        <v>25</v>
      </c>
      <c r="O40" s="1" t="s">
        <v>25</v>
      </c>
      <c r="P40" s="1" t="s">
        <v>25</v>
      </c>
      <c r="Q40" s="1" t="s">
        <v>1246</v>
      </c>
      <c r="R40" s="1" t="s">
        <v>28</v>
      </c>
      <c r="S40" s="1" t="str">
        <f>IF(results_context_via_permalink_gpt_5_2025_08_07_with_justification_run1__2[[#This Row],[they_type]]=results_context_via_permalink_gpt_5_2025_08_07_with_justification_run1__2[[#This Row],[LLM_annotation]],"X","")</f>
        <v>X</v>
      </c>
      <c r="T40" s="1" t="s">
        <v>25</v>
      </c>
    </row>
    <row r="41" spans="1:20" x14ac:dyDescent="0.2">
      <c r="A41" s="1" t="s">
        <v>273</v>
      </c>
      <c r="B41" s="1" t="s">
        <v>220</v>
      </c>
      <c r="C41" s="1" t="s">
        <v>274</v>
      </c>
      <c r="D41" s="1" t="s">
        <v>275</v>
      </c>
      <c r="E41" s="1" t="s">
        <v>33</v>
      </c>
      <c r="F41" s="1" t="s">
        <v>276</v>
      </c>
      <c r="G41" s="1" t="s">
        <v>25</v>
      </c>
      <c r="H41">
        <v>16667034120</v>
      </c>
      <c r="I41" s="1" t="s">
        <v>42</v>
      </c>
      <c r="J41" s="1" t="s">
        <v>27</v>
      </c>
      <c r="K41" s="1" t="s">
        <v>28</v>
      </c>
      <c r="L41" s="1" t="s">
        <v>25</v>
      </c>
      <c r="M41" s="1" t="str">
        <f>IF(LEFT(results_context_via_permalink_gpt_5_2025_08_07_with_justification_run1__2[[#This Row],[LLM_response]],21)="CONTEXT_ACCESSED: yes","X","")</f>
        <v>X</v>
      </c>
      <c r="N41" s="1" t="s">
        <v>25</v>
      </c>
      <c r="O41" s="1" t="s">
        <v>25</v>
      </c>
      <c r="P41" s="1" t="s">
        <v>25</v>
      </c>
      <c r="Q41" s="1" t="s">
        <v>1247</v>
      </c>
      <c r="R41" s="1" t="s">
        <v>28</v>
      </c>
      <c r="S41" s="1" t="str">
        <f>IF(results_context_via_permalink_gpt_5_2025_08_07_with_justification_run1__2[[#This Row],[they_type]]=results_context_via_permalink_gpt_5_2025_08_07_with_justification_run1__2[[#This Row],[LLM_annotation]],"X","")</f>
        <v>X</v>
      </c>
      <c r="T41" s="1" t="s">
        <v>25</v>
      </c>
    </row>
    <row r="42" spans="1:20" x14ac:dyDescent="0.2">
      <c r="A42" s="1" t="s">
        <v>278</v>
      </c>
      <c r="B42" s="1" t="s">
        <v>279</v>
      </c>
      <c r="C42" s="1" t="s">
        <v>280</v>
      </c>
      <c r="D42" s="1" t="s">
        <v>281</v>
      </c>
      <c r="E42" s="1" t="s">
        <v>54</v>
      </c>
      <c r="F42" s="1" t="s">
        <v>282</v>
      </c>
      <c r="G42" s="1" t="s">
        <v>25</v>
      </c>
      <c r="H42">
        <v>16648126410</v>
      </c>
      <c r="I42" s="1" t="s">
        <v>100</v>
      </c>
      <c r="J42" s="1" t="s">
        <v>27</v>
      </c>
      <c r="K42" s="1" t="s">
        <v>36</v>
      </c>
      <c r="L42" s="1" t="s">
        <v>25</v>
      </c>
      <c r="M42" s="1" t="str">
        <f>IF(LEFT(results_context_via_permalink_gpt_5_2025_08_07_with_justification_run1__2[[#This Row],[LLM_response]],21)="CONTEXT_ACCESSED: yes","X","")</f>
        <v/>
      </c>
      <c r="N42" s="1" t="s">
        <v>25</v>
      </c>
      <c r="O42" s="1" t="s">
        <v>25</v>
      </c>
      <c r="P42" s="1" t="s">
        <v>25</v>
      </c>
      <c r="Q42" s="1" t="s">
        <v>1248</v>
      </c>
      <c r="R42" s="1" t="s">
        <v>36</v>
      </c>
      <c r="S42" s="1" t="str">
        <f>IF(results_context_via_permalink_gpt_5_2025_08_07_with_justification_run1__2[[#This Row],[they_type]]=results_context_via_permalink_gpt_5_2025_08_07_with_justification_run1__2[[#This Row],[LLM_annotation]],"X","")</f>
        <v>X</v>
      </c>
      <c r="T42" s="1" t="s">
        <v>25</v>
      </c>
    </row>
    <row r="43" spans="1:20" x14ac:dyDescent="0.2">
      <c r="A43" s="1" t="s">
        <v>284</v>
      </c>
      <c r="B43" s="1" t="s">
        <v>285</v>
      </c>
      <c r="C43" s="1" t="s">
        <v>286</v>
      </c>
      <c r="D43" s="1" t="s">
        <v>287</v>
      </c>
      <c r="E43" s="1" t="s">
        <v>33</v>
      </c>
      <c r="F43" s="1" t="s">
        <v>288</v>
      </c>
      <c r="G43" s="1" t="s">
        <v>25</v>
      </c>
      <c r="H43">
        <v>16667395930</v>
      </c>
      <c r="I43" s="1" t="s">
        <v>100</v>
      </c>
      <c r="J43" s="1" t="s">
        <v>27</v>
      </c>
      <c r="K43" s="1" t="s">
        <v>28</v>
      </c>
      <c r="L43" s="1" t="s">
        <v>25</v>
      </c>
      <c r="M43" s="1" t="str">
        <f>IF(LEFT(results_context_via_permalink_gpt_5_2025_08_07_with_justification_run1__2[[#This Row],[LLM_response]],21)="CONTEXT_ACCESSED: yes","X","")</f>
        <v>X</v>
      </c>
      <c r="N43" s="1" t="s">
        <v>25</v>
      </c>
      <c r="O43" s="1" t="s">
        <v>25</v>
      </c>
      <c r="P43" s="1" t="s">
        <v>25</v>
      </c>
      <c r="Q43" s="1" t="s">
        <v>1249</v>
      </c>
      <c r="R43" s="1" t="s">
        <v>36</v>
      </c>
      <c r="S43" s="1" t="str">
        <f>IF(results_context_via_permalink_gpt_5_2025_08_07_with_justification_run1__2[[#This Row],[they_type]]=results_context_via_permalink_gpt_5_2025_08_07_with_justification_run1__2[[#This Row],[LLM_annotation]],"X","")</f>
        <v/>
      </c>
      <c r="T43" s="1" t="s">
        <v>25</v>
      </c>
    </row>
    <row r="44" spans="1:20" x14ac:dyDescent="0.2">
      <c r="A44" s="1" t="s">
        <v>290</v>
      </c>
      <c r="B44" s="1" t="s">
        <v>291</v>
      </c>
      <c r="C44" s="1" t="s">
        <v>292</v>
      </c>
      <c r="D44" s="1" t="s">
        <v>293</v>
      </c>
      <c r="E44" s="1" t="s">
        <v>33</v>
      </c>
      <c r="F44" s="1" t="s">
        <v>294</v>
      </c>
      <c r="G44" s="1" t="s">
        <v>25</v>
      </c>
      <c r="H44">
        <v>13263780190</v>
      </c>
      <c r="I44" s="1" t="s">
        <v>123</v>
      </c>
      <c r="J44" s="1" t="s">
        <v>27</v>
      </c>
      <c r="K44" s="1" t="s">
        <v>36</v>
      </c>
      <c r="L44" s="1" t="s">
        <v>25</v>
      </c>
      <c r="M44" s="1" t="str">
        <f>IF(LEFT(results_context_via_permalink_gpt_5_2025_08_07_with_justification_run1__2[[#This Row],[LLM_response]],21)="CONTEXT_ACCESSED: yes","X","")</f>
        <v>X</v>
      </c>
      <c r="N44" s="1" t="s">
        <v>25</v>
      </c>
      <c r="O44" s="1" t="s">
        <v>25</v>
      </c>
      <c r="P44" s="1" t="s">
        <v>25</v>
      </c>
      <c r="Q44" s="1" t="s">
        <v>1250</v>
      </c>
      <c r="R44" s="1" t="s">
        <v>36</v>
      </c>
      <c r="S44" s="1" t="str">
        <f>IF(results_context_via_permalink_gpt_5_2025_08_07_with_justification_run1__2[[#This Row],[they_type]]=results_context_via_permalink_gpt_5_2025_08_07_with_justification_run1__2[[#This Row],[LLM_annotation]],"X","")</f>
        <v>X</v>
      </c>
      <c r="T44" s="1" t="s">
        <v>25</v>
      </c>
    </row>
    <row r="45" spans="1:20" x14ac:dyDescent="0.2">
      <c r="A45" s="1" t="s">
        <v>296</v>
      </c>
      <c r="B45" s="1" t="s">
        <v>297</v>
      </c>
      <c r="C45" s="1" t="s">
        <v>298</v>
      </c>
      <c r="D45" s="1" t="s">
        <v>299</v>
      </c>
      <c r="E45" s="1" t="s">
        <v>33</v>
      </c>
      <c r="F45" s="1" t="s">
        <v>300</v>
      </c>
      <c r="G45" s="1" t="s">
        <v>301</v>
      </c>
      <c r="H45">
        <v>13263866400</v>
      </c>
      <c r="I45" s="1" t="s">
        <v>123</v>
      </c>
      <c r="J45" s="1" t="s">
        <v>27</v>
      </c>
      <c r="K45" s="1" t="s">
        <v>36</v>
      </c>
      <c r="L45" s="1" t="s">
        <v>25</v>
      </c>
      <c r="M45" s="1" t="str">
        <f>IF(LEFT(results_context_via_permalink_gpt_5_2025_08_07_with_justification_run1__2[[#This Row],[LLM_response]],21)="CONTEXT_ACCESSED: yes","X","")</f>
        <v/>
      </c>
      <c r="N45" s="1" t="s">
        <v>25</v>
      </c>
      <c r="O45" s="1" t="s">
        <v>25</v>
      </c>
      <c r="P45" s="1" t="s">
        <v>25</v>
      </c>
      <c r="Q45" s="1" t="s">
        <v>1251</v>
      </c>
      <c r="R45" s="1" t="s">
        <v>36</v>
      </c>
      <c r="S45" s="1" t="str">
        <f>IF(results_context_via_permalink_gpt_5_2025_08_07_with_justification_run1__2[[#This Row],[they_type]]=results_context_via_permalink_gpt_5_2025_08_07_with_justification_run1__2[[#This Row],[LLM_annotation]],"X","")</f>
        <v>X</v>
      </c>
      <c r="T45" s="1" t="s">
        <v>25</v>
      </c>
    </row>
    <row r="46" spans="1:20" x14ac:dyDescent="0.2">
      <c r="A46" s="1" t="s">
        <v>303</v>
      </c>
      <c r="B46" s="1" t="s">
        <v>304</v>
      </c>
      <c r="C46" s="1" t="s">
        <v>305</v>
      </c>
      <c r="D46" s="1" t="s">
        <v>306</v>
      </c>
      <c r="E46" s="1" t="s">
        <v>33</v>
      </c>
      <c r="F46" s="1" t="s">
        <v>307</v>
      </c>
      <c r="G46" s="1" t="s">
        <v>25</v>
      </c>
      <c r="H46">
        <v>13264681190</v>
      </c>
      <c r="I46" s="1" t="s">
        <v>49</v>
      </c>
      <c r="J46" s="1" t="s">
        <v>27</v>
      </c>
      <c r="K46" s="1" t="s">
        <v>36</v>
      </c>
      <c r="L46" s="1" t="s">
        <v>25</v>
      </c>
      <c r="M46" s="1" t="str">
        <f>IF(LEFT(results_context_via_permalink_gpt_5_2025_08_07_with_justification_run1__2[[#This Row],[LLM_response]],21)="CONTEXT_ACCESSED: yes","X","")</f>
        <v>X</v>
      </c>
      <c r="N46" s="1" t="s">
        <v>25</v>
      </c>
      <c r="O46" s="1" t="s">
        <v>25</v>
      </c>
      <c r="P46" s="1" t="s">
        <v>25</v>
      </c>
      <c r="Q46" s="1" t="s">
        <v>1252</v>
      </c>
      <c r="R46" s="1" t="s">
        <v>36</v>
      </c>
      <c r="S46" s="1" t="str">
        <f>IF(results_context_via_permalink_gpt_5_2025_08_07_with_justification_run1__2[[#This Row],[they_type]]=results_context_via_permalink_gpt_5_2025_08_07_with_justification_run1__2[[#This Row],[LLM_annotation]],"X","")</f>
        <v>X</v>
      </c>
      <c r="T46" s="1" t="s">
        <v>25</v>
      </c>
    </row>
    <row r="47" spans="1:20" x14ac:dyDescent="0.2">
      <c r="A47" s="1" t="s">
        <v>309</v>
      </c>
      <c r="B47" s="1" t="s">
        <v>310</v>
      </c>
      <c r="C47" s="1" t="s">
        <v>311</v>
      </c>
      <c r="D47" s="1" t="s">
        <v>312</v>
      </c>
      <c r="E47" s="1" t="s">
        <v>47</v>
      </c>
      <c r="F47" s="1" t="s">
        <v>313</v>
      </c>
      <c r="G47" s="1" t="s">
        <v>25</v>
      </c>
      <c r="H47">
        <v>13266536960</v>
      </c>
      <c r="I47" s="1" t="s">
        <v>314</v>
      </c>
      <c r="J47" s="1" t="s">
        <v>27</v>
      </c>
      <c r="K47" s="1" t="s">
        <v>36</v>
      </c>
      <c r="L47" s="1" t="s">
        <v>25</v>
      </c>
      <c r="M47" s="1" t="str">
        <f>IF(LEFT(results_context_via_permalink_gpt_5_2025_08_07_with_justification_run1__2[[#This Row],[LLM_response]],21)="CONTEXT_ACCESSED: yes","X","")</f>
        <v>X</v>
      </c>
      <c r="N47" s="1" t="s">
        <v>25</v>
      </c>
      <c r="O47" s="1" t="s">
        <v>25</v>
      </c>
      <c r="P47" s="1" t="s">
        <v>25</v>
      </c>
      <c r="Q47" s="1" t="s">
        <v>1253</v>
      </c>
      <c r="R47" s="1" t="s">
        <v>36</v>
      </c>
      <c r="S47" s="1" t="str">
        <f>IF(results_context_via_permalink_gpt_5_2025_08_07_with_justification_run1__2[[#This Row],[they_type]]=results_context_via_permalink_gpt_5_2025_08_07_with_justification_run1__2[[#This Row],[LLM_annotation]],"X","")</f>
        <v>X</v>
      </c>
      <c r="T47" s="1" t="s">
        <v>25</v>
      </c>
    </row>
    <row r="48" spans="1:20" x14ac:dyDescent="0.2">
      <c r="A48" s="1" t="s">
        <v>316</v>
      </c>
      <c r="B48" s="1" t="s">
        <v>317</v>
      </c>
      <c r="C48" s="1" t="s">
        <v>318</v>
      </c>
      <c r="D48" s="1" t="s">
        <v>319</v>
      </c>
      <c r="E48" s="1" t="s">
        <v>54</v>
      </c>
      <c r="F48" s="1" t="s">
        <v>320</v>
      </c>
      <c r="G48" s="1" t="s">
        <v>25</v>
      </c>
      <c r="H48">
        <v>16649603840</v>
      </c>
      <c r="I48" s="1" t="s">
        <v>42</v>
      </c>
      <c r="J48" s="1" t="s">
        <v>27</v>
      </c>
      <c r="K48" s="1" t="s">
        <v>28</v>
      </c>
      <c r="L48" s="1" t="s">
        <v>25</v>
      </c>
      <c r="M48" s="1" t="str">
        <f>IF(LEFT(results_context_via_permalink_gpt_5_2025_08_07_with_justification_run1__2[[#This Row],[LLM_response]],21)="CONTEXT_ACCESSED: yes","X","")</f>
        <v>X</v>
      </c>
      <c r="N48" s="1" t="s">
        <v>25</v>
      </c>
      <c r="O48" s="1" t="s">
        <v>25</v>
      </c>
      <c r="P48" s="1" t="s">
        <v>25</v>
      </c>
      <c r="Q48" s="1" t="s">
        <v>1254</v>
      </c>
      <c r="R48" s="1" t="s">
        <v>36</v>
      </c>
      <c r="S48" s="1" t="str">
        <f>IF(results_context_via_permalink_gpt_5_2025_08_07_with_justification_run1__2[[#This Row],[they_type]]=results_context_via_permalink_gpt_5_2025_08_07_with_justification_run1__2[[#This Row],[LLM_annotation]],"X","")</f>
        <v/>
      </c>
      <c r="T48" s="1" t="s">
        <v>25</v>
      </c>
    </row>
    <row r="49" spans="1:20" x14ac:dyDescent="0.2">
      <c r="A49" s="1" t="s">
        <v>322</v>
      </c>
      <c r="B49" s="1" t="s">
        <v>323</v>
      </c>
      <c r="C49" s="1" t="s">
        <v>324</v>
      </c>
      <c r="D49" s="1" t="s">
        <v>325</v>
      </c>
      <c r="E49" s="1" t="s">
        <v>54</v>
      </c>
      <c r="F49" s="1" t="s">
        <v>326</v>
      </c>
      <c r="G49" s="1" t="s">
        <v>25</v>
      </c>
      <c r="H49">
        <v>16649614840</v>
      </c>
      <c r="I49" s="1" t="s">
        <v>148</v>
      </c>
      <c r="J49" s="1" t="s">
        <v>27</v>
      </c>
      <c r="K49" s="1" t="s">
        <v>36</v>
      </c>
      <c r="L49" s="1" t="s">
        <v>25</v>
      </c>
      <c r="M49" s="1" t="str">
        <f>IF(LEFT(results_context_via_permalink_gpt_5_2025_08_07_with_justification_run1__2[[#This Row],[LLM_response]],21)="CONTEXT_ACCESSED: yes","X","")</f>
        <v>X</v>
      </c>
      <c r="N49" s="1" t="s">
        <v>25</v>
      </c>
      <c r="O49" s="1" t="s">
        <v>25</v>
      </c>
      <c r="P49" s="1" t="s">
        <v>25</v>
      </c>
      <c r="Q49" s="1" t="s">
        <v>1255</v>
      </c>
      <c r="R49" s="1" t="s">
        <v>36</v>
      </c>
      <c r="S49" s="1" t="str">
        <f>IF(results_context_via_permalink_gpt_5_2025_08_07_with_justification_run1__2[[#This Row],[they_type]]=results_context_via_permalink_gpt_5_2025_08_07_with_justification_run1__2[[#This Row],[LLM_annotation]],"X","")</f>
        <v>X</v>
      </c>
      <c r="T49" s="1" t="s">
        <v>25</v>
      </c>
    </row>
    <row r="50" spans="1:20" x14ac:dyDescent="0.2">
      <c r="A50" s="1" t="s">
        <v>328</v>
      </c>
      <c r="B50" s="1" t="s">
        <v>102</v>
      </c>
      <c r="C50" s="1" t="s">
        <v>329</v>
      </c>
      <c r="D50" s="1" t="s">
        <v>330</v>
      </c>
      <c r="E50" s="1" t="s">
        <v>33</v>
      </c>
      <c r="F50" s="1" t="s">
        <v>331</v>
      </c>
      <c r="G50" s="1" t="s">
        <v>25</v>
      </c>
      <c r="H50">
        <v>16649670340</v>
      </c>
      <c r="I50" s="1" t="s">
        <v>42</v>
      </c>
      <c r="J50" s="1" t="s">
        <v>27</v>
      </c>
      <c r="K50" s="1" t="s">
        <v>28</v>
      </c>
      <c r="L50" s="1" t="s">
        <v>25</v>
      </c>
      <c r="M50" s="1" t="str">
        <f>IF(LEFT(results_context_via_permalink_gpt_5_2025_08_07_with_justification_run1__2[[#This Row],[LLM_response]],21)="CONTEXT_ACCESSED: yes","X","")</f>
        <v>X</v>
      </c>
      <c r="N50" s="1" t="s">
        <v>25</v>
      </c>
      <c r="O50" s="1" t="s">
        <v>25</v>
      </c>
      <c r="P50" s="1" t="s">
        <v>25</v>
      </c>
      <c r="Q50" s="1" t="s">
        <v>1256</v>
      </c>
      <c r="R50" s="1" t="s">
        <v>28</v>
      </c>
      <c r="S50" s="1" t="str">
        <f>IF(results_context_via_permalink_gpt_5_2025_08_07_with_justification_run1__2[[#This Row],[they_type]]=results_context_via_permalink_gpt_5_2025_08_07_with_justification_run1__2[[#This Row],[LLM_annotation]],"X","")</f>
        <v>X</v>
      </c>
      <c r="T50" s="1" t="s">
        <v>25</v>
      </c>
    </row>
    <row r="51" spans="1:20" x14ac:dyDescent="0.2">
      <c r="A51" s="1" t="s">
        <v>333</v>
      </c>
      <c r="B51" s="1" t="s">
        <v>334</v>
      </c>
      <c r="C51" s="1" t="s">
        <v>335</v>
      </c>
      <c r="D51" s="1" t="s">
        <v>336</v>
      </c>
      <c r="E51" s="1" t="s">
        <v>54</v>
      </c>
      <c r="F51" s="1" t="s">
        <v>34</v>
      </c>
      <c r="G51" s="1" t="s">
        <v>25</v>
      </c>
      <c r="H51">
        <v>16649981870</v>
      </c>
      <c r="I51" s="1" t="s">
        <v>26</v>
      </c>
      <c r="J51" s="1" t="s">
        <v>27</v>
      </c>
      <c r="K51" s="1" t="s">
        <v>28</v>
      </c>
      <c r="L51" s="1" t="s">
        <v>25</v>
      </c>
      <c r="M51" s="1" t="str">
        <f>IF(LEFT(results_context_via_permalink_gpt_5_2025_08_07_with_justification_run1__2[[#This Row],[LLM_response]],21)="CONTEXT_ACCESSED: yes","X","")</f>
        <v>X</v>
      </c>
      <c r="N51" s="1" t="s">
        <v>25</v>
      </c>
      <c r="O51" s="1" t="s">
        <v>25</v>
      </c>
      <c r="P51" s="1" t="s">
        <v>25</v>
      </c>
      <c r="Q51" s="1" t="s">
        <v>1257</v>
      </c>
      <c r="R51" s="1" t="s">
        <v>28</v>
      </c>
      <c r="S51" s="1" t="str">
        <f>IF(results_context_via_permalink_gpt_5_2025_08_07_with_justification_run1__2[[#This Row],[they_type]]=results_context_via_permalink_gpt_5_2025_08_07_with_justification_run1__2[[#This Row],[LLM_annotation]],"X","")</f>
        <v>X</v>
      </c>
      <c r="T51" s="1" t="s">
        <v>25</v>
      </c>
    </row>
    <row r="52" spans="1:20" x14ac:dyDescent="0.2">
      <c r="A52" s="1" t="s">
        <v>338</v>
      </c>
      <c r="B52" s="1" t="s">
        <v>339</v>
      </c>
      <c r="C52" s="1" t="s">
        <v>340</v>
      </c>
      <c r="D52" s="1" t="s">
        <v>341</v>
      </c>
      <c r="E52" s="1" t="s">
        <v>47</v>
      </c>
      <c r="F52" s="1" t="s">
        <v>342</v>
      </c>
      <c r="G52" s="1" t="s">
        <v>25</v>
      </c>
      <c r="H52">
        <v>13269496230</v>
      </c>
      <c r="I52" s="1" t="s">
        <v>314</v>
      </c>
      <c r="J52" s="1" t="s">
        <v>27</v>
      </c>
      <c r="K52" s="1" t="s">
        <v>36</v>
      </c>
      <c r="L52" s="1" t="s">
        <v>25</v>
      </c>
      <c r="M52" s="1" t="str">
        <f>IF(LEFT(results_context_via_permalink_gpt_5_2025_08_07_with_justification_run1__2[[#This Row],[LLM_response]],21)="CONTEXT_ACCESSED: yes","X","")</f>
        <v/>
      </c>
      <c r="N52" s="1" t="s">
        <v>25</v>
      </c>
      <c r="O52" s="1" t="s">
        <v>25</v>
      </c>
      <c r="P52" s="1" t="s">
        <v>25</v>
      </c>
      <c r="Q52" s="1" t="s">
        <v>1258</v>
      </c>
      <c r="R52" s="1" t="s">
        <v>36</v>
      </c>
      <c r="S52" s="1" t="str">
        <f>IF(results_context_via_permalink_gpt_5_2025_08_07_with_justification_run1__2[[#This Row],[they_type]]=results_context_via_permalink_gpt_5_2025_08_07_with_justification_run1__2[[#This Row],[LLM_annotation]],"X","")</f>
        <v>X</v>
      </c>
      <c r="T52" s="1" t="s">
        <v>25</v>
      </c>
    </row>
    <row r="53" spans="1:20" x14ac:dyDescent="0.2">
      <c r="A53" s="1" t="s">
        <v>344</v>
      </c>
      <c r="B53" s="1" t="s">
        <v>345</v>
      </c>
      <c r="C53" s="1" t="s">
        <v>346</v>
      </c>
      <c r="D53" s="1" t="s">
        <v>347</v>
      </c>
      <c r="E53" s="1" t="s">
        <v>33</v>
      </c>
      <c r="F53" s="1" t="s">
        <v>348</v>
      </c>
      <c r="G53" s="1" t="s">
        <v>25</v>
      </c>
      <c r="H53">
        <v>13270097640</v>
      </c>
      <c r="I53" s="1" t="s">
        <v>314</v>
      </c>
      <c r="J53" s="1" t="s">
        <v>27</v>
      </c>
      <c r="K53" s="1" t="s">
        <v>28</v>
      </c>
      <c r="L53" s="1" t="s">
        <v>25</v>
      </c>
      <c r="M53" s="1" t="str">
        <f>IF(LEFT(results_context_via_permalink_gpt_5_2025_08_07_with_justification_run1__2[[#This Row],[LLM_response]],21)="CONTEXT_ACCESSED: yes","X","")</f>
        <v>X</v>
      </c>
      <c r="N53" s="1" t="s">
        <v>25</v>
      </c>
      <c r="O53" s="1" t="s">
        <v>25</v>
      </c>
      <c r="P53" s="1" t="s">
        <v>25</v>
      </c>
      <c r="Q53" s="1" t="s">
        <v>1259</v>
      </c>
      <c r="R53" s="1" t="s">
        <v>28</v>
      </c>
      <c r="S53" s="1" t="str">
        <f>IF(results_context_via_permalink_gpt_5_2025_08_07_with_justification_run1__2[[#This Row],[they_type]]=results_context_via_permalink_gpt_5_2025_08_07_with_justification_run1__2[[#This Row],[LLM_annotation]],"X","")</f>
        <v>X</v>
      </c>
      <c r="T53" s="1" t="s">
        <v>25</v>
      </c>
    </row>
    <row r="54" spans="1:20" x14ac:dyDescent="0.2">
      <c r="A54" s="1" t="s">
        <v>350</v>
      </c>
      <c r="B54" s="1" t="s">
        <v>351</v>
      </c>
      <c r="C54" s="1" t="s">
        <v>352</v>
      </c>
      <c r="D54" s="1" t="s">
        <v>353</v>
      </c>
      <c r="E54" s="1" t="s">
        <v>54</v>
      </c>
      <c r="F54" s="1" t="s">
        <v>354</v>
      </c>
      <c r="G54" s="1" t="s">
        <v>25</v>
      </c>
      <c r="H54">
        <v>16651641030</v>
      </c>
      <c r="I54" s="1" t="s">
        <v>26</v>
      </c>
      <c r="J54" s="1" t="s">
        <v>27</v>
      </c>
      <c r="K54" s="1" t="s">
        <v>28</v>
      </c>
      <c r="L54" s="1" t="s">
        <v>25</v>
      </c>
      <c r="M54" s="1" t="str">
        <f>IF(LEFT(results_context_via_permalink_gpt_5_2025_08_07_with_justification_run1__2[[#This Row],[LLM_response]],21)="CONTEXT_ACCESSED: yes","X","")</f>
        <v/>
      </c>
      <c r="N54" s="1" t="s">
        <v>25</v>
      </c>
      <c r="O54" s="1" t="s">
        <v>25</v>
      </c>
      <c r="P54" s="1" t="s">
        <v>25</v>
      </c>
      <c r="Q54" s="1" t="s">
        <v>1260</v>
      </c>
      <c r="R54" s="1" t="s">
        <v>28</v>
      </c>
      <c r="S54" s="1" t="str">
        <f>IF(results_context_via_permalink_gpt_5_2025_08_07_with_justification_run1__2[[#This Row],[they_type]]=results_context_via_permalink_gpt_5_2025_08_07_with_justification_run1__2[[#This Row],[LLM_annotation]],"X","")</f>
        <v>X</v>
      </c>
      <c r="T54" s="1" t="s">
        <v>25</v>
      </c>
    </row>
    <row r="55" spans="1:20" x14ac:dyDescent="0.2">
      <c r="A55" s="1" t="s">
        <v>356</v>
      </c>
      <c r="B55" s="1" t="s">
        <v>357</v>
      </c>
      <c r="C55" s="1" t="s">
        <v>358</v>
      </c>
      <c r="D55" s="1" t="s">
        <v>359</v>
      </c>
      <c r="E55" s="1" t="s">
        <v>23</v>
      </c>
      <c r="F55" s="1" t="s">
        <v>360</v>
      </c>
      <c r="G55" s="1" t="s">
        <v>25</v>
      </c>
      <c r="H55">
        <v>16652192270</v>
      </c>
      <c r="I55" s="1" t="s">
        <v>100</v>
      </c>
      <c r="J55" s="1" t="s">
        <v>27</v>
      </c>
      <c r="K55" s="1" t="s">
        <v>36</v>
      </c>
      <c r="L55" s="1" t="s">
        <v>25</v>
      </c>
      <c r="M55" s="1" t="str">
        <f>IF(LEFT(results_context_via_permalink_gpt_5_2025_08_07_with_justification_run1__2[[#This Row],[LLM_response]],21)="CONTEXT_ACCESSED: yes","X","")</f>
        <v>X</v>
      </c>
      <c r="N55" s="1" t="s">
        <v>25</v>
      </c>
      <c r="O55" s="1" t="s">
        <v>25</v>
      </c>
      <c r="P55" s="1" t="s">
        <v>25</v>
      </c>
      <c r="Q55" s="1" t="s">
        <v>1261</v>
      </c>
      <c r="R55" s="1" t="s">
        <v>28</v>
      </c>
      <c r="S55" s="1" t="str">
        <f>IF(results_context_via_permalink_gpt_5_2025_08_07_with_justification_run1__2[[#This Row],[they_type]]=results_context_via_permalink_gpt_5_2025_08_07_with_justification_run1__2[[#This Row],[LLM_annotation]],"X","")</f>
        <v/>
      </c>
      <c r="T55" s="1" t="s">
        <v>25</v>
      </c>
    </row>
    <row r="56" spans="1:20" x14ac:dyDescent="0.2">
      <c r="A56" s="1" t="s">
        <v>362</v>
      </c>
      <c r="B56" s="1" t="s">
        <v>363</v>
      </c>
      <c r="C56" s="1" t="s">
        <v>364</v>
      </c>
      <c r="D56" s="1" t="s">
        <v>365</v>
      </c>
      <c r="E56" s="1" t="s">
        <v>366</v>
      </c>
      <c r="F56" s="1" t="s">
        <v>367</v>
      </c>
      <c r="G56" s="1" t="s">
        <v>25</v>
      </c>
      <c r="H56">
        <v>15698915200</v>
      </c>
      <c r="I56" s="1" t="s">
        <v>368</v>
      </c>
      <c r="J56" s="1" t="s">
        <v>27</v>
      </c>
      <c r="K56" s="1" t="s">
        <v>36</v>
      </c>
      <c r="L56" s="1" t="s">
        <v>25</v>
      </c>
      <c r="M56" s="1" t="str">
        <f>IF(LEFT(results_context_via_permalink_gpt_5_2025_08_07_with_justification_run1__2[[#This Row],[LLM_response]],21)="CONTEXT_ACCESSED: yes","X","")</f>
        <v/>
      </c>
      <c r="N56" s="1" t="s">
        <v>25</v>
      </c>
      <c r="O56" s="1" t="s">
        <v>25</v>
      </c>
      <c r="P56" s="1" t="s">
        <v>25</v>
      </c>
      <c r="Q56" s="1" t="s">
        <v>1262</v>
      </c>
      <c r="R56" s="1" t="s">
        <v>36</v>
      </c>
      <c r="S56" s="1" t="str">
        <f>IF(results_context_via_permalink_gpt_5_2025_08_07_with_justification_run1__2[[#This Row],[they_type]]=results_context_via_permalink_gpt_5_2025_08_07_with_justification_run1__2[[#This Row],[LLM_annotation]],"X","")</f>
        <v>X</v>
      </c>
      <c r="T56" s="1" t="s">
        <v>25</v>
      </c>
    </row>
    <row r="57" spans="1:20" x14ac:dyDescent="0.2">
      <c r="A57" s="1" t="s">
        <v>370</v>
      </c>
      <c r="B57" s="1" t="s">
        <v>371</v>
      </c>
      <c r="C57" s="1" t="s">
        <v>372</v>
      </c>
      <c r="D57" s="1" t="s">
        <v>373</v>
      </c>
      <c r="E57" s="1" t="s">
        <v>374</v>
      </c>
      <c r="F57" s="1" t="s">
        <v>375</v>
      </c>
      <c r="G57" s="1" t="s">
        <v>25</v>
      </c>
      <c r="H57">
        <v>15698915400</v>
      </c>
      <c r="I57" s="1" t="s">
        <v>376</v>
      </c>
      <c r="J57" s="1" t="s">
        <v>27</v>
      </c>
      <c r="K57" s="1" t="s">
        <v>131</v>
      </c>
      <c r="L57" s="1" t="s">
        <v>27</v>
      </c>
      <c r="M57" s="1" t="str">
        <f>IF(LEFT(results_context_via_permalink_gpt_5_2025_08_07_with_justification_run1__2[[#This Row],[LLM_response]],21)="CONTEXT_ACCESSED: yes","X","")</f>
        <v/>
      </c>
      <c r="N57" s="1" t="s">
        <v>25</v>
      </c>
      <c r="O57" s="1" t="s">
        <v>25</v>
      </c>
      <c r="P57" s="1" t="s">
        <v>25</v>
      </c>
      <c r="Q57" s="1" t="s">
        <v>1263</v>
      </c>
      <c r="R57" s="1" t="s">
        <v>131</v>
      </c>
      <c r="S57" s="1" t="str">
        <f>IF(results_context_via_permalink_gpt_5_2025_08_07_with_justification_run1__2[[#This Row],[they_type]]=results_context_via_permalink_gpt_5_2025_08_07_with_justification_run1__2[[#This Row],[LLM_annotation]],"X","")</f>
        <v>X</v>
      </c>
      <c r="T57" s="1" t="s">
        <v>25</v>
      </c>
    </row>
    <row r="58" spans="1:20" x14ac:dyDescent="0.2">
      <c r="A58" s="1" t="s">
        <v>378</v>
      </c>
      <c r="B58" s="1" t="s">
        <v>379</v>
      </c>
      <c r="C58" s="1" t="s">
        <v>380</v>
      </c>
      <c r="D58" s="1" t="s">
        <v>381</v>
      </c>
      <c r="E58" s="1" t="s">
        <v>382</v>
      </c>
      <c r="F58" s="1" t="s">
        <v>383</v>
      </c>
      <c r="G58" s="1" t="s">
        <v>25</v>
      </c>
      <c r="H58">
        <v>16225656640</v>
      </c>
      <c r="I58" s="1" t="s">
        <v>368</v>
      </c>
      <c r="J58" s="1" t="s">
        <v>27</v>
      </c>
      <c r="K58" s="1" t="s">
        <v>28</v>
      </c>
      <c r="L58" s="1" t="s">
        <v>25</v>
      </c>
      <c r="M58" s="1" t="str">
        <f>IF(LEFT(results_context_via_permalink_gpt_5_2025_08_07_with_justification_run1__2[[#This Row],[LLM_response]],21)="CONTEXT_ACCESSED: yes","X","")</f>
        <v>X</v>
      </c>
      <c r="N58" s="1" t="s">
        <v>25</v>
      </c>
      <c r="O58" s="1" t="s">
        <v>25</v>
      </c>
      <c r="P58" s="1" t="s">
        <v>25</v>
      </c>
      <c r="Q58" s="1" t="s">
        <v>1264</v>
      </c>
      <c r="R58" s="1" t="s">
        <v>28</v>
      </c>
      <c r="S58" s="1" t="str">
        <f>IF(results_context_via_permalink_gpt_5_2025_08_07_with_justification_run1__2[[#This Row],[they_type]]=results_context_via_permalink_gpt_5_2025_08_07_with_justification_run1__2[[#This Row],[LLM_annotation]],"X","")</f>
        <v>X</v>
      </c>
      <c r="T58" s="1" t="s">
        <v>25</v>
      </c>
    </row>
    <row r="59" spans="1:20" x14ac:dyDescent="0.2">
      <c r="A59" s="1" t="s">
        <v>385</v>
      </c>
      <c r="B59" s="1" t="s">
        <v>386</v>
      </c>
      <c r="C59" s="1" t="s">
        <v>387</v>
      </c>
      <c r="D59" s="1" t="s">
        <v>388</v>
      </c>
      <c r="E59" s="1" t="s">
        <v>389</v>
      </c>
      <c r="F59" s="1" t="s">
        <v>390</v>
      </c>
      <c r="G59" s="1" t="s">
        <v>25</v>
      </c>
      <c r="H59">
        <v>15698920820</v>
      </c>
      <c r="I59" s="1" t="s">
        <v>391</v>
      </c>
      <c r="J59" s="1" t="s">
        <v>27</v>
      </c>
      <c r="K59" s="1" t="s">
        <v>36</v>
      </c>
      <c r="L59" s="1" t="s">
        <v>25</v>
      </c>
      <c r="M59" s="1" t="str">
        <f>IF(LEFT(results_context_via_permalink_gpt_5_2025_08_07_with_justification_run1__2[[#This Row],[LLM_response]],21)="CONTEXT_ACCESSED: yes","X","")</f>
        <v>X</v>
      </c>
      <c r="N59" s="1" t="s">
        <v>25</v>
      </c>
      <c r="O59" s="1" t="s">
        <v>25</v>
      </c>
      <c r="P59" s="1" t="s">
        <v>25</v>
      </c>
      <c r="Q59" s="1" t="s">
        <v>1265</v>
      </c>
      <c r="R59" s="1" t="s">
        <v>36</v>
      </c>
      <c r="S59" s="1" t="str">
        <f>IF(results_context_via_permalink_gpt_5_2025_08_07_with_justification_run1__2[[#This Row],[they_type]]=results_context_via_permalink_gpt_5_2025_08_07_with_justification_run1__2[[#This Row],[LLM_annotation]],"X","")</f>
        <v>X</v>
      </c>
      <c r="T59" s="1" t="s">
        <v>25</v>
      </c>
    </row>
    <row r="60" spans="1:20" x14ac:dyDescent="0.2">
      <c r="A60" s="1" t="s">
        <v>393</v>
      </c>
      <c r="B60" s="1" t="s">
        <v>394</v>
      </c>
      <c r="C60" s="1" t="s">
        <v>395</v>
      </c>
      <c r="D60" s="1" t="s">
        <v>396</v>
      </c>
      <c r="E60" s="1" t="s">
        <v>366</v>
      </c>
      <c r="F60" s="1" t="s">
        <v>397</v>
      </c>
      <c r="G60" s="1" t="s">
        <v>25</v>
      </c>
      <c r="H60">
        <v>16225700220</v>
      </c>
      <c r="I60" s="1" t="s">
        <v>42</v>
      </c>
      <c r="J60" s="1" t="s">
        <v>27</v>
      </c>
      <c r="K60" s="1" t="s">
        <v>28</v>
      </c>
      <c r="L60" s="1" t="s">
        <v>25</v>
      </c>
      <c r="M60" s="1" t="str">
        <f>IF(LEFT(results_context_via_permalink_gpt_5_2025_08_07_with_justification_run1__2[[#This Row],[LLM_response]],21)="CONTEXT_ACCESSED: yes","X","")</f>
        <v>X</v>
      </c>
      <c r="N60" s="1" t="s">
        <v>25</v>
      </c>
      <c r="O60" s="1" t="s">
        <v>25</v>
      </c>
      <c r="P60" s="1" t="s">
        <v>25</v>
      </c>
      <c r="Q60" s="1" t="s">
        <v>1266</v>
      </c>
      <c r="R60" s="1" t="s">
        <v>28</v>
      </c>
      <c r="S60" s="1" t="str">
        <f>IF(results_context_via_permalink_gpt_5_2025_08_07_with_justification_run1__2[[#This Row],[they_type]]=results_context_via_permalink_gpt_5_2025_08_07_with_justification_run1__2[[#This Row],[LLM_annotation]],"X","")</f>
        <v>X</v>
      </c>
      <c r="T60" s="1" t="s">
        <v>25</v>
      </c>
    </row>
    <row r="61" spans="1:20" x14ac:dyDescent="0.2">
      <c r="A61" s="1" t="s">
        <v>399</v>
      </c>
      <c r="B61" s="1" t="s">
        <v>400</v>
      </c>
      <c r="C61" s="1" t="s">
        <v>401</v>
      </c>
      <c r="D61" s="1" t="s">
        <v>402</v>
      </c>
      <c r="E61" s="1" t="s">
        <v>366</v>
      </c>
      <c r="F61" s="1" t="s">
        <v>403</v>
      </c>
      <c r="G61" s="1" t="s">
        <v>25</v>
      </c>
      <c r="H61">
        <v>15698925740</v>
      </c>
      <c r="I61" s="1" t="s">
        <v>404</v>
      </c>
      <c r="J61" s="1" t="s">
        <v>27</v>
      </c>
      <c r="K61" s="1" t="s">
        <v>36</v>
      </c>
      <c r="L61" s="1" t="s">
        <v>25</v>
      </c>
      <c r="M61" s="1" t="str">
        <f>IF(LEFT(results_context_via_permalink_gpt_5_2025_08_07_with_justification_run1__2[[#This Row],[LLM_response]],21)="CONTEXT_ACCESSED: yes","X","")</f>
        <v/>
      </c>
      <c r="N61" s="1" t="s">
        <v>25</v>
      </c>
      <c r="O61" s="1" t="s">
        <v>25</v>
      </c>
      <c r="P61" s="1" t="s">
        <v>25</v>
      </c>
      <c r="Q61" s="1" t="s">
        <v>1267</v>
      </c>
      <c r="R61" s="1" t="s">
        <v>28</v>
      </c>
      <c r="S61" s="1" t="str">
        <f>IF(results_context_via_permalink_gpt_5_2025_08_07_with_justification_run1__2[[#This Row],[they_type]]=results_context_via_permalink_gpt_5_2025_08_07_with_justification_run1__2[[#This Row],[LLM_annotation]],"X","")</f>
        <v/>
      </c>
      <c r="T61" s="1" t="s">
        <v>25</v>
      </c>
    </row>
    <row r="62" spans="1:20" x14ac:dyDescent="0.2">
      <c r="A62" s="1" t="s">
        <v>406</v>
      </c>
      <c r="B62" s="1" t="s">
        <v>407</v>
      </c>
      <c r="C62" s="1" t="s">
        <v>408</v>
      </c>
      <c r="D62" s="1" t="s">
        <v>409</v>
      </c>
      <c r="E62" s="1" t="s">
        <v>410</v>
      </c>
      <c r="F62" s="1" t="s">
        <v>411</v>
      </c>
      <c r="G62" s="1" t="s">
        <v>25</v>
      </c>
      <c r="H62">
        <v>15698933190</v>
      </c>
      <c r="I62" s="1" t="s">
        <v>368</v>
      </c>
      <c r="J62" s="1" t="s">
        <v>27</v>
      </c>
      <c r="K62" s="1" t="s">
        <v>36</v>
      </c>
      <c r="L62" s="1" t="s">
        <v>25</v>
      </c>
      <c r="M62" s="1" t="str">
        <f>IF(LEFT(results_context_via_permalink_gpt_5_2025_08_07_with_justification_run1__2[[#This Row],[LLM_response]],21)="CONTEXT_ACCESSED: yes","X","")</f>
        <v>X</v>
      </c>
      <c r="N62" s="1" t="s">
        <v>25</v>
      </c>
      <c r="O62" s="1" t="s">
        <v>25</v>
      </c>
      <c r="P62" s="1" t="s">
        <v>25</v>
      </c>
      <c r="Q62" s="1" t="s">
        <v>1268</v>
      </c>
      <c r="R62" s="1" t="s">
        <v>36</v>
      </c>
      <c r="S62" s="1" t="str">
        <f>IF(results_context_via_permalink_gpt_5_2025_08_07_with_justification_run1__2[[#This Row],[they_type]]=results_context_via_permalink_gpt_5_2025_08_07_with_justification_run1__2[[#This Row],[LLM_annotation]],"X","")</f>
        <v>X</v>
      </c>
      <c r="T62" s="1" t="s">
        <v>25</v>
      </c>
    </row>
    <row r="63" spans="1:20" x14ac:dyDescent="0.2">
      <c r="A63" s="1" t="s">
        <v>413</v>
      </c>
      <c r="B63" s="1" t="s">
        <v>414</v>
      </c>
      <c r="C63" s="1" t="s">
        <v>415</v>
      </c>
      <c r="D63" s="1" t="s">
        <v>416</v>
      </c>
      <c r="E63" s="1" t="s">
        <v>417</v>
      </c>
      <c r="F63" s="1" t="s">
        <v>418</v>
      </c>
      <c r="G63" s="1" t="s">
        <v>25</v>
      </c>
      <c r="H63">
        <v>16225773950</v>
      </c>
      <c r="I63" s="1" t="s">
        <v>404</v>
      </c>
      <c r="J63" s="1" t="s">
        <v>27</v>
      </c>
      <c r="K63" s="1" t="s">
        <v>28</v>
      </c>
      <c r="L63" s="1" t="s">
        <v>25</v>
      </c>
      <c r="M63" s="1" t="str">
        <f>IF(LEFT(results_context_via_permalink_gpt_5_2025_08_07_with_justification_run1__2[[#This Row],[LLM_response]],21)="CONTEXT_ACCESSED: yes","X","")</f>
        <v/>
      </c>
      <c r="N63" s="1" t="s">
        <v>25</v>
      </c>
      <c r="O63" s="1" t="s">
        <v>27</v>
      </c>
      <c r="P63" s="1" t="s">
        <v>25</v>
      </c>
      <c r="Q63" s="1" t="s">
        <v>1269</v>
      </c>
      <c r="R63" s="1" t="s">
        <v>28</v>
      </c>
      <c r="S63" s="1" t="str">
        <f>IF(results_context_via_permalink_gpt_5_2025_08_07_with_justification_run1__2[[#This Row],[they_type]]=results_context_via_permalink_gpt_5_2025_08_07_with_justification_run1__2[[#This Row],[LLM_annotation]],"X","")</f>
        <v>X</v>
      </c>
      <c r="T63" s="1" t="s">
        <v>25</v>
      </c>
    </row>
    <row r="64" spans="1:20" x14ac:dyDescent="0.2">
      <c r="A64" s="1" t="s">
        <v>420</v>
      </c>
      <c r="B64" s="1" t="s">
        <v>421</v>
      </c>
      <c r="C64" s="1" t="s">
        <v>422</v>
      </c>
      <c r="D64" s="1" t="s">
        <v>423</v>
      </c>
      <c r="E64" s="1" t="s">
        <v>424</v>
      </c>
      <c r="F64" s="1" t="s">
        <v>425</v>
      </c>
      <c r="G64" s="1" t="s">
        <v>426</v>
      </c>
      <c r="H64">
        <v>16225787990</v>
      </c>
      <c r="I64" s="1" t="s">
        <v>427</v>
      </c>
      <c r="J64" s="1" t="s">
        <v>27</v>
      </c>
      <c r="K64" s="1" t="s">
        <v>131</v>
      </c>
      <c r="L64" s="1" t="s">
        <v>27</v>
      </c>
      <c r="M64" s="1" t="str">
        <f>IF(LEFT(results_context_via_permalink_gpt_5_2025_08_07_with_justification_run1__2[[#This Row],[LLM_response]],21)="CONTEXT_ACCESSED: yes","X","")</f>
        <v>X</v>
      </c>
      <c r="N64" s="1" t="s">
        <v>25</v>
      </c>
      <c r="O64" s="1" t="s">
        <v>25</v>
      </c>
      <c r="P64" s="1" t="s">
        <v>27</v>
      </c>
      <c r="Q64" s="1" t="s">
        <v>1270</v>
      </c>
      <c r="R64" s="1" t="s">
        <v>131</v>
      </c>
      <c r="S64" s="1" t="str">
        <f>IF(results_context_via_permalink_gpt_5_2025_08_07_with_justification_run1__2[[#This Row],[they_type]]=results_context_via_permalink_gpt_5_2025_08_07_with_justification_run1__2[[#This Row],[LLM_annotation]],"X","")</f>
        <v>X</v>
      </c>
      <c r="T64" s="1" t="s">
        <v>25</v>
      </c>
    </row>
    <row r="65" spans="1:20" x14ac:dyDescent="0.2">
      <c r="A65" s="1" t="s">
        <v>429</v>
      </c>
      <c r="B65" s="1" t="s">
        <v>430</v>
      </c>
      <c r="C65" s="1" t="s">
        <v>431</v>
      </c>
      <c r="D65" s="1" t="s">
        <v>432</v>
      </c>
      <c r="E65" s="1" t="s">
        <v>433</v>
      </c>
      <c r="F65" s="1" t="s">
        <v>434</v>
      </c>
      <c r="G65" s="1" t="s">
        <v>25</v>
      </c>
      <c r="H65">
        <v>16232147460</v>
      </c>
      <c r="I65" s="1" t="s">
        <v>427</v>
      </c>
      <c r="J65" s="1" t="s">
        <v>27</v>
      </c>
      <c r="K65" s="1" t="s">
        <v>28</v>
      </c>
      <c r="L65" s="1" t="s">
        <v>25</v>
      </c>
      <c r="M65" s="1" t="str">
        <f>IF(LEFT(results_context_via_permalink_gpt_5_2025_08_07_with_justification_run1__2[[#This Row],[LLM_response]],21)="CONTEXT_ACCESSED: yes","X","")</f>
        <v/>
      </c>
      <c r="N65" s="1" t="s">
        <v>25</v>
      </c>
      <c r="O65" s="1" t="s">
        <v>25</v>
      </c>
      <c r="P65" s="1" t="s">
        <v>25</v>
      </c>
      <c r="Q65" s="1" t="s">
        <v>1271</v>
      </c>
      <c r="R65" s="1" t="s">
        <v>28</v>
      </c>
      <c r="S65" s="1" t="str">
        <f>IF(results_context_via_permalink_gpt_5_2025_08_07_with_justification_run1__2[[#This Row],[they_type]]=results_context_via_permalink_gpt_5_2025_08_07_with_justification_run1__2[[#This Row],[LLM_annotation]],"X","")</f>
        <v>X</v>
      </c>
      <c r="T65" s="1" t="s">
        <v>25</v>
      </c>
    </row>
    <row r="66" spans="1:20" x14ac:dyDescent="0.2">
      <c r="A66" s="1" t="s">
        <v>436</v>
      </c>
      <c r="B66" s="1" t="s">
        <v>437</v>
      </c>
      <c r="C66" s="1" t="s">
        <v>438</v>
      </c>
      <c r="D66" s="1" t="s">
        <v>439</v>
      </c>
      <c r="E66" s="1" t="s">
        <v>440</v>
      </c>
      <c r="F66" s="1" t="s">
        <v>441</v>
      </c>
      <c r="G66" s="1" t="s">
        <v>25</v>
      </c>
      <c r="H66">
        <v>15698941590</v>
      </c>
      <c r="I66" s="1" t="s">
        <v>404</v>
      </c>
      <c r="J66" s="1" t="s">
        <v>27</v>
      </c>
      <c r="K66" s="1" t="s">
        <v>131</v>
      </c>
      <c r="L66" s="1" t="s">
        <v>25</v>
      </c>
      <c r="M66" s="1" t="str">
        <f>IF(LEFT(results_context_via_permalink_gpt_5_2025_08_07_with_justification_run1__2[[#This Row],[LLM_response]],21)="CONTEXT_ACCESSED: yes","X","")</f>
        <v>X</v>
      </c>
      <c r="N66" s="1" t="s">
        <v>25</v>
      </c>
      <c r="O66" s="1" t="s">
        <v>25</v>
      </c>
      <c r="P66" s="1" t="s">
        <v>25</v>
      </c>
      <c r="Q66" s="1" t="s">
        <v>1272</v>
      </c>
      <c r="R66" s="1" t="s">
        <v>131</v>
      </c>
      <c r="S66" s="1" t="str">
        <f>IF(results_context_via_permalink_gpt_5_2025_08_07_with_justification_run1__2[[#This Row],[they_type]]=results_context_via_permalink_gpt_5_2025_08_07_with_justification_run1__2[[#This Row],[LLM_annotation]],"X","")</f>
        <v>X</v>
      </c>
      <c r="T66" s="1" t="s">
        <v>25</v>
      </c>
    </row>
    <row r="67" spans="1:20" x14ac:dyDescent="0.2">
      <c r="A67" s="1" t="s">
        <v>443</v>
      </c>
      <c r="B67" s="1" t="s">
        <v>444</v>
      </c>
      <c r="C67" s="1" t="s">
        <v>445</v>
      </c>
      <c r="D67" s="1" t="s">
        <v>446</v>
      </c>
      <c r="E67" s="1" t="s">
        <v>447</v>
      </c>
      <c r="F67" s="1" t="s">
        <v>448</v>
      </c>
      <c r="G67" s="1" t="s">
        <v>449</v>
      </c>
      <c r="H67">
        <v>16225847490</v>
      </c>
      <c r="I67" s="1" t="s">
        <v>450</v>
      </c>
      <c r="J67" s="1" t="s">
        <v>27</v>
      </c>
      <c r="K67" s="1" t="s">
        <v>28</v>
      </c>
      <c r="L67" s="1" t="s">
        <v>25</v>
      </c>
      <c r="M67" s="1" t="str">
        <f>IF(LEFT(results_context_via_permalink_gpt_5_2025_08_07_with_justification_run1__2[[#This Row],[LLM_response]],21)="CONTEXT_ACCESSED: yes","X","")</f>
        <v>X</v>
      </c>
      <c r="N67" s="1" t="s">
        <v>25</v>
      </c>
      <c r="O67" s="1" t="s">
        <v>27</v>
      </c>
      <c r="P67" s="1" t="s">
        <v>25</v>
      </c>
      <c r="Q67" s="1" t="s">
        <v>1273</v>
      </c>
      <c r="R67" s="1" t="s">
        <v>28</v>
      </c>
      <c r="S67" s="1" t="str">
        <f>IF(results_context_via_permalink_gpt_5_2025_08_07_with_justification_run1__2[[#This Row],[they_type]]=results_context_via_permalink_gpt_5_2025_08_07_with_justification_run1__2[[#This Row],[LLM_annotation]],"X","")</f>
        <v>X</v>
      </c>
      <c r="T67" s="1" t="s">
        <v>25</v>
      </c>
    </row>
    <row r="68" spans="1:20" x14ac:dyDescent="0.2">
      <c r="A68" s="1" t="s">
        <v>452</v>
      </c>
      <c r="B68" s="1" t="s">
        <v>453</v>
      </c>
      <c r="C68" s="1" t="s">
        <v>454</v>
      </c>
      <c r="D68" s="1" t="s">
        <v>455</v>
      </c>
      <c r="E68" s="1" t="s">
        <v>456</v>
      </c>
      <c r="F68" s="1" t="s">
        <v>457</v>
      </c>
      <c r="G68" s="1" t="s">
        <v>25</v>
      </c>
      <c r="H68">
        <v>16225918240</v>
      </c>
      <c r="I68" s="1" t="s">
        <v>450</v>
      </c>
      <c r="J68" s="1" t="s">
        <v>27</v>
      </c>
      <c r="K68" s="1" t="s">
        <v>36</v>
      </c>
      <c r="L68" s="1" t="s">
        <v>25</v>
      </c>
      <c r="M68" s="1" t="str">
        <f>IF(LEFT(results_context_via_permalink_gpt_5_2025_08_07_with_justification_run1__2[[#This Row],[LLM_response]],21)="CONTEXT_ACCESSED: yes","X","")</f>
        <v>X</v>
      </c>
      <c r="N68" s="1" t="s">
        <v>25</v>
      </c>
      <c r="O68" s="1" t="s">
        <v>25</v>
      </c>
      <c r="P68" s="1" t="s">
        <v>25</v>
      </c>
      <c r="Q68" s="1" t="s">
        <v>1274</v>
      </c>
      <c r="R68" s="1" t="s">
        <v>36</v>
      </c>
      <c r="S68" s="1" t="str">
        <f>IF(results_context_via_permalink_gpt_5_2025_08_07_with_justification_run1__2[[#This Row],[they_type]]=results_context_via_permalink_gpt_5_2025_08_07_with_justification_run1__2[[#This Row],[LLM_annotation]],"X","")</f>
        <v>X</v>
      </c>
      <c r="T68" s="1" t="s">
        <v>25</v>
      </c>
    </row>
    <row r="69" spans="1:20" x14ac:dyDescent="0.2">
      <c r="A69" s="1" t="s">
        <v>459</v>
      </c>
      <c r="B69" s="1" t="s">
        <v>460</v>
      </c>
      <c r="C69" s="1" t="s">
        <v>461</v>
      </c>
      <c r="D69" s="1" t="s">
        <v>462</v>
      </c>
      <c r="E69" s="1" t="s">
        <v>463</v>
      </c>
      <c r="F69" s="1" t="s">
        <v>464</v>
      </c>
      <c r="G69" s="1" t="s">
        <v>25</v>
      </c>
      <c r="H69">
        <v>15699092200</v>
      </c>
      <c r="I69" s="1" t="s">
        <v>35</v>
      </c>
      <c r="J69" s="1" t="s">
        <v>27</v>
      </c>
      <c r="K69" s="1" t="s">
        <v>28</v>
      </c>
      <c r="L69" s="1" t="s">
        <v>27</v>
      </c>
      <c r="M69" s="1" t="str">
        <f>IF(LEFT(results_context_via_permalink_gpt_5_2025_08_07_with_justification_run1__2[[#This Row],[LLM_response]],21)="CONTEXT_ACCESSED: yes","X","")</f>
        <v/>
      </c>
      <c r="N69" s="1" t="s">
        <v>25</v>
      </c>
      <c r="O69" s="1" t="s">
        <v>27</v>
      </c>
      <c r="P69" s="1" t="s">
        <v>25</v>
      </c>
      <c r="Q69" s="1" t="s">
        <v>1275</v>
      </c>
      <c r="R69" s="1" t="s">
        <v>28</v>
      </c>
      <c r="S69" s="1" t="str">
        <f>IF(results_context_via_permalink_gpt_5_2025_08_07_with_justification_run1__2[[#This Row],[they_type]]=results_context_via_permalink_gpt_5_2025_08_07_with_justification_run1__2[[#This Row],[LLM_annotation]],"X","")</f>
        <v>X</v>
      </c>
      <c r="T69" s="1" t="s">
        <v>25</v>
      </c>
    </row>
    <row r="70" spans="1:20" x14ac:dyDescent="0.2">
      <c r="A70" s="1" t="s">
        <v>466</v>
      </c>
      <c r="B70" s="1" t="s">
        <v>421</v>
      </c>
      <c r="C70" s="1" t="s">
        <v>467</v>
      </c>
      <c r="D70" s="1" t="s">
        <v>468</v>
      </c>
      <c r="E70" s="1" t="s">
        <v>469</v>
      </c>
      <c r="F70" s="1" t="s">
        <v>470</v>
      </c>
      <c r="G70" s="1" t="s">
        <v>25</v>
      </c>
      <c r="H70">
        <v>15698964830</v>
      </c>
      <c r="I70" s="1" t="s">
        <v>471</v>
      </c>
      <c r="J70" s="1" t="s">
        <v>27</v>
      </c>
      <c r="K70" s="1" t="s">
        <v>131</v>
      </c>
      <c r="L70" s="1" t="s">
        <v>27</v>
      </c>
      <c r="M70" s="1" t="str">
        <f>IF(LEFT(results_context_via_permalink_gpt_5_2025_08_07_with_justification_run1__2[[#This Row],[LLM_response]],21)="CONTEXT_ACCESSED: yes","X","")</f>
        <v>X</v>
      </c>
      <c r="N70" s="1" t="s">
        <v>25</v>
      </c>
      <c r="O70" s="1" t="s">
        <v>25</v>
      </c>
      <c r="P70" s="1" t="s">
        <v>27</v>
      </c>
      <c r="Q70" s="1" t="s">
        <v>1276</v>
      </c>
      <c r="R70" s="1" t="s">
        <v>131</v>
      </c>
      <c r="S70" s="1" t="str">
        <f>IF(results_context_via_permalink_gpt_5_2025_08_07_with_justification_run1__2[[#This Row],[they_type]]=results_context_via_permalink_gpt_5_2025_08_07_with_justification_run1__2[[#This Row],[LLM_annotation]],"X","")</f>
        <v>X</v>
      </c>
      <c r="T70" s="1" t="s">
        <v>25</v>
      </c>
    </row>
    <row r="71" spans="1:20" x14ac:dyDescent="0.2">
      <c r="A71" s="1" t="s">
        <v>473</v>
      </c>
      <c r="B71" s="1" t="s">
        <v>474</v>
      </c>
      <c r="C71" s="1" t="s">
        <v>475</v>
      </c>
      <c r="D71" s="1" t="s">
        <v>476</v>
      </c>
      <c r="E71" s="1" t="s">
        <v>410</v>
      </c>
      <c r="F71" s="1" t="s">
        <v>477</v>
      </c>
      <c r="G71" s="1" t="s">
        <v>25</v>
      </c>
      <c r="H71">
        <v>15698965080</v>
      </c>
      <c r="I71" s="1" t="s">
        <v>450</v>
      </c>
      <c r="J71" s="1" t="s">
        <v>27</v>
      </c>
      <c r="K71" s="1" t="s">
        <v>131</v>
      </c>
      <c r="L71" s="1" t="s">
        <v>25</v>
      </c>
      <c r="M71" s="1" t="str">
        <f>IF(LEFT(results_context_via_permalink_gpt_5_2025_08_07_with_justification_run1__2[[#This Row],[LLM_response]],21)="CONTEXT_ACCESSED: yes","X","")</f>
        <v/>
      </c>
      <c r="N71" s="1" t="s">
        <v>25</v>
      </c>
      <c r="O71" s="1" t="s">
        <v>25</v>
      </c>
      <c r="P71" s="1" t="s">
        <v>25</v>
      </c>
      <c r="Q71" s="1" t="s">
        <v>1277</v>
      </c>
      <c r="R71" s="1" t="s">
        <v>131</v>
      </c>
      <c r="S71" s="1" t="str">
        <f>IF(results_context_via_permalink_gpt_5_2025_08_07_with_justification_run1__2[[#This Row],[they_type]]=results_context_via_permalink_gpt_5_2025_08_07_with_justification_run1__2[[#This Row],[LLM_annotation]],"X","")</f>
        <v>X</v>
      </c>
      <c r="T71" s="1" t="s">
        <v>25</v>
      </c>
    </row>
    <row r="72" spans="1:20" x14ac:dyDescent="0.2">
      <c r="A72" s="1" t="s">
        <v>479</v>
      </c>
      <c r="B72" s="1" t="s">
        <v>480</v>
      </c>
      <c r="C72" s="1" t="s">
        <v>481</v>
      </c>
      <c r="D72" s="1" t="s">
        <v>482</v>
      </c>
      <c r="E72" s="1" t="s">
        <v>483</v>
      </c>
      <c r="F72" s="1" t="s">
        <v>484</v>
      </c>
      <c r="G72" s="1" t="s">
        <v>25</v>
      </c>
      <c r="H72">
        <v>15698967280</v>
      </c>
      <c r="I72" s="1" t="s">
        <v>450</v>
      </c>
      <c r="J72" s="1" t="s">
        <v>27</v>
      </c>
      <c r="K72" s="1" t="s">
        <v>36</v>
      </c>
      <c r="L72" s="1" t="s">
        <v>25</v>
      </c>
      <c r="M72" s="1" t="str">
        <f>IF(LEFT(results_context_via_permalink_gpt_5_2025_08_07_with_justification_run1__2[[#This Row],[LLM_response]],21)="CONTEXT_ACCESSED: yes","X","")</f>
        <v/>
      </c>
      <c r="N72" s="1" t="s">
        <v>25</v>
      </c>
      <c r="O72" s="1" t="s">
        <v>25</v>
      </c>
      <c r="P72" s="1" t="s">
        <v>25</v>
      </c>
      <c r="Q72" s="1" t="s">
        <v>1278</v>
      </c>
      <c r="R72" s="1" t="s">
        <v>36</v>
      </c>
      <c r="S72" s="1" t="str">
        <f>IF(results_context_via_permalink_gpt_5_2025_08_07_with_justification_run1__2[[#This Row],[they_type]]=results_context_via_permalink_gpt_5_2025_08_07_with_justification_run1__2[[#This Row],[LLM_annotation]],"X","")</f>
        <v>X</v>
      </c>
      <c r="T72" s="1" t="s">
        <v>25</v>
      </c>
    </row>
    <row r="73" spans="1:20" x14ac:dyDescent="0.2">
      <c r="A73" s="1" t="s">
        <v>486</v>
      </c>
      <c r="B73" s="1" t="s">
        <v>487</v>
      </c>
      <c r="C73" s="1" t="s">
        <v>488</v>
      </c>
      <c r="D73" s="1" t="s">
        <v>489</v>
      </c>
      <c r="E73" s="1" t="s">
        <v>490</v>
      </c>
      <c r="F73" s="1" t="s">
        <v>491</v>
      </c>
      <c r="G73" s="1" t="s">
        <v>25</v>
      </c>
      <c r="H73">
        <v>15698967640</v>
      </c>
      <c r="I73" s="1" t="s">
        <v>492</v>
      </c>
      <c r="J73" s="1" t="s">
        <v>27</v>
      </c>
      <c r="K73" s="1" t="s">
        <v>131</v>
      </c>
      <c r="L73" s="1" t="s">
        <v>27</v>
      </c>
      <c r="M73" s="1" t="str">
        <f>IF(LEFT(results_context_via_permalink_gpt_5_2025_08_07_with_justification_run1__2[[#This Row],[LLM_response]],21)="CONTEXT_ACCESSED: yes","X","")</f>
        <v>X</v>
      </c>
      <c r="N73" s="1" t="s">
        <v>25</v>
      </c>
      <c r="O73" s="1" t="s">
        <v>25</v>
      </c>
      <c r="P73" s="1" t="s">
        <v>27</v>
      </c>
      <c r="Q73" s="1" t="s">
        <v>1279</v>
      </c>
      <c r="R73" s="1" t="s">
        <v>131</v>
      </c>
      <c r="S73" s="1" t="str">
        <f>IF(results_context_via_permalink_gpt_5_2025_08_07_with_justification_run1__2[[#This Row],[they_type]]=results_context_via_permalink_gpt_5_2025_08_07_with_justification_run1__2[[#This Row],[LLM_annotation]],"X","")</f>
        <v>X</v>
      </c>
      <c r="T73" s="1" t="s">
        <v>25</v>
      </c>
    </row>
    <row r="74" spans="1:20" x14ac:dyDescent="0.2">
      <c r="A74" s="1" t="s">
        <v>494</v>
      </c>
      <c r="B74" s="1" t="s">
        <v>495</v>
      </c>
      <c r="C74" s="1" t="s">
        <v>496</v>
      </c>
      <c r="D74" s="1" t="s">
        <v>497</v>
      </c>
      <c r="E74" s="1" t="s">
        <v>498</v>
      </c>
      <c r="F74" s="1" t="s">
        <v>499</v>
      </c>
      <c r="G74" s="1" t="s">
        <v>500</v>
      </c>
      <c r="H74">
        <v>15698970320</v>
      </c>
      <c r="I74" s="1" t="s">
        <v>450</v>
      </c>
      <c r="J74" s="1" t="s">
        <v>27</v>
      </c>
      <c r="K74" s="1" t="s">
        <v>131</v>
      </c>
      <c r="L74" s="1" t="s">
        <v>25</v>
      </c>
      <c r="M74" s="1" t="str">
        <f>IF(LEFT(results_context_via_permalink_gpt_5_2025_08_07_with_justification_run1__2[[#This Row],[LLM_response]],21)="CONTEXT_ACCESSED: yes","X","")</f>
        <v/>
      </c>
      <c r="N74" s="1" t="s">
        <v>25</v>
      </c>
      <c r="O74" s="1" t="s">
        <v>25</v>
      </c>
      <c r="P74" s="1" t="s">
        <v>25</v>
      </c>
      <c r="Q74" s="1" t="s">
        <v>1280</v>
      </c>
      <c r="R74" s="1" t="s">
        <v>131</v>
      </c>
      <c r="S74" s="1" t="str">
        <f>IF(results_context_via_permalink_gpt_5_2025_08_07_with_justification_run1__2[[#This Row],[they_type]]=results_context_via_permalink_gpt_5_2025_08_07_with_justification_run1__2[[#This Row],[LLM_annotation]],"X","")</f>
        <v>X</v>
      </c>
      <c r="T74" s="1" t="s">
        <v>25</v>
      </c>
    </row>
    <row r="75" spans="1:20" x14ac:dyDescent="0.2">
      <c r="A75" s="1" t="s">
        <v>502</v>
      </c>
      <c r="B75" s="1" t="s">
        <v>503</v>
      </c>
      <c r="C75" s="1" t="s">
        <v>504</v>
      </c>
      <c r="D75" s="1" t="s">
        <v>505</v>
      </c>
      <c r="E75" s="1" t="s">
        <v>506</v>
      </c>
      <c r="F75" s="1" t="s">
        <v>507</v>
      </c>
      <c r="G75" s="1" t="s">
        <v>25</v>
      </c>
      <c r="H75">
        <v>16226014010</v>
      </c>
      <c r="I75" s="1" t="s">
        <v>450</v>
      </c>
      <c r="J75" s="1" t="s">
        <v>27</v>
      </c>
      <c r="K75" s="1" t="s">
        <v>28</v>
      </c>
      <c r="L75" s="1" t="s">
        <v>25</v>
      </c>
      <c r="M75" s="1" t="str">
        <f>IF(LEFT(results_context_via_permalink_gpt_5_2025_08_07_with_justification_run1__2[[#This Row],[LLM_response]],21)="CONTEXT_ACCESSED: yes","X","")</f>
        <v>X</v>
      </c>
      <c r="N75" s="1" t="s">
        <v>25</v>
      </c>
      <c r="O75" s="1" t="s">
        <v>25</v>
      </c>
      <c r="P75" s="1" t="s">
        <v>25</v>
      </c>
      <c r="Q75" s="1" t="s">
        <v>1281</v>
      </c>
      <c r="R75" s="1" t="s">
        <v>28</v>
      </c>
      <c r="S75" s="1" t="str">
        <f>IF(results_context_via_permalink_gpt_5_2025_08_07_with_justification_run1__2[[#This Row],[they_type]]=results_context_via_permalink_gpt_5_2025_08_07_with_justification_run1__2[[#This Row],[LLM_annotation]],"X","")</f>
        <v>X</v>
      </c>
      <c r="T75" s="1" t="s">
        <v>25</v>
      </c>
    </row>
    <row r="76" spans="1:20" x14ac:dyDescent="0.2">
      <c r="A76" s="1" t="s">
        <v>509</v>
      </c>
      <c r="B76" s="1" t="s">
        <v>510</v>
      </c>
      <c r="C76" s="1" t="s">
        <v>511</v>
      </c>
      <c r="D76" s="1" t="s">
        <v>512</v>
      </c>
      <c r="E76" s="1" t="s">
        <v>513</v>
      </c>
      <c r="F76" s="1" t="s">
        <v>514</v>
      </c>
      <c r="G76" s="1" t="s">
        <v>25</v>
      </c>
      <c r="H76">
        <v>15698974080</v>
      </c>
      <c r="I76" s="1" t="s">
        <v>450</v>
      </c>
      <c r="J76" s="1" t="s">
        <v>27</v>
      </c>
      <c r="K76" s="1" t="s">
        <v>36</v>
      </c>
      <c r="L76" s="1" t="s">
        <v>25</v>
      </c>
      <c r="M76" s="1" t="str">
        <f>IF(LEFT(results_context_via_permalink_gpt_5_2025_08_07_with_justification_run1__2[[#This Row],[LLM_response]],21)="CONTEXT_ACCESSED: yes","X","")</f>
        <v/>
      </c>
      <c r="N76" s="1" t="s">
        <v>25</v>
      </c>
      <c r="O76" s="1" t="s">
        <v>25</v>
      </c>
      <c r="P76" s="1" t="s">
        <v>25</v>
      </c>
      <c r="Q76" s="1" t="s">
        <v>1282</v>
      </c>
      <c r="R76" s="1" t="s">
        <v>36</v>
      </c>
      <c r="S76" s="1" t="str">
        <f>IF(results_context_via_permalink_gpt_5_2025_08_07_with_justification_run1__2[[#This Row],[they_type]]=results_context_via_permalink_gpt_5_2025_08_07_with_justification_run1__2[[#This Row],[LLM_annotation]],"X","")</f>
        <v>X</v>
      </c>
      <c r="T76" s="1" t="s">
        <v>25</v>
      </c>
    </row>
    <row r="77" spans="1:20" x14ac:dyDescent="0.2">
      <c r="A77" s="1" t="s">
        <v>516</v>
      </c>
      <c r="B77" s="1" t="s">
        <v>517</v>
      </c>
      <c r="C77" s="1" t="s">
        <v>518</v>
      </c>
      <c r="D77" s="1" t="s">
        <v>519</v>
      </c>
      <c r="E77" s="1" t="s">
        <v>520</v>
      </c>
      <c r="F77" s="1" t="s">
        <v>521</v>
      </c>
      <c r="G77" s="1" t="s">
        <v>25</v>
      </c>
      <c r="H77">
        <v>15698974670</v>
      </c>
      <c r="I77" s="1" t="s">
        <v>450</v>
      </c>
      <c r="J77" s="1" t="s">
        <v>27</v>
      </c>
      <c r="K77" s="1" t="s">
        <v>131</v>
      </c>
      <c r="L77" s="1" t="s">
        <v>25</v>
      </c>
      <c r="M77" s="1" t="str">
        <f>IF(LEFT(results_context_via_permalink_gpt_5_2025_08_07_with_justification_run1__2[[#This Row],[LLM_response]],21)="CONTEXT_ACCESSED: yes","X","")</f>
        <v/>
      </c>
      <c r="N77" s="1" t="s">
        <v>25</v>
      </c>
      <c r="O77" s="1" t="s">
        <v>25</v>
      </c>
      <c r="P77" s="1" t="s">
        <v>25</v>
      </c>
      <c r="Q77" s="1" t="s">
        <v>1283</v>
      </c>
      <c r="R77" s="1" t="s">
        <v>131</v>
      </c>
      <c r="S77" s="1" t="str">
        <f>IF(results_context_via_permalink_gpt_5_2025_08_07_with_justification_run1__2[[#This Row],[they_type]]=results_context_via_permalink_gpt_5_2025_08_07_with_justification_run1__2[[#This Row],[LLM_annotation]],"X","")</f>
        <v>X</v>
      </c>
      <c r="T77" s="1" t="s">
        <v>25</v>
      </c>
    </row>
    <row r="78" spans="1:20" x14ac:dyDescent="0.2">
      <c r="A78" s="1" t="s">
        <v>523</v>
      </c>
      <c r="B78" s="1" t="s">
        <v>524</v>
      </c>
      <c r="C78" s="1" t="s">
        <v>525</v>
      </c>
      <c r="D78" s="1" t="s">
        <v>526</v>
      </c>
      <c r="E78" s="1" t="s">
        <v>527</v>
      </c>
      <c r="F78" s="1" t="s">
        <v>528</v>
      </c>
      <c r="G78" s="1" t="s">
        <v>25</v>
      </c>
      <c r="H78">
        <v>16226035700</v>
      </c>
      <c r="I78" s="1" t="s">
        <v>368</v>
      </c>
      <c r="J78" s="1" t="s">
        <v>27</v>
      </c>
      <c r="K78" s="1" t="s">
        <v>28</v>
      </c>
      <c r="L78" s="1" t="s">
        <v>25</v>
      </c>
      <c r="M78" s="1" t="str">
        <f>IF(LEFT(results_context_via_permalink_gpt_5_2025_08_07_with_justification_run1__2[[#This Row],[LLM_response]],21)="CONTEXT_ACCESSED: yes","X","")</f>
        <v>X</v>
      </c>
      <c r="N78" s="1" t="s">
        <v>25</v>
      </c>
      <c r="O78" s="1" t="s">
        <v>25</v>
      </c>
      <c r="P78" s="1" t="s">
        <v>25</v>
      </c>
      <c r="Q78" s="1" t="s">
        <v>1284</v>
      </c>
      <c r="R78" s="1" t="s">
        <v>28</v>
      </c>
      <c r="S78" s="1" t="str">
        <f>IF(results_context_via_permalink_gpt_5_2025_08_07_with_justification_run1__2[[#This Row],[they_type]]=results_context_via_permalink_gpt_5_2025_08_07_with_justification_run1__2[[#This Row],[LLM_annotation]],"X","")</f>
        <v>X</v>
      </c>
      <c r="T78" s="1" t="s">
        <v>25</v>
      </c>
    </row>
    <row r="79" spans="1:20" x14ac:dyDescent="0.2">
      <c r="A79" s="1" t="s">
        <v>530</v>
      </c>
      <c r="B79" s="1" t="s">
        <v>531</v>
      </c>
      <c r="C79" s="1" t="s">
        <v>532</v>
      </c>
      <c r="D79" s="1" t="s">
        <v>533</v>
      </c>
      <c r="E79" s="1" t="s">
        <v>534</v>
      </c>
      <c r="F79" s="1" t="s">
        <v>535</v>
      </c>
      <c r="G79" s="1" t="s">
        <v>25</v>
      </c>
      <c r="H79">
        <v>16226048990</v>
      </c>
      <c r="I79" s="1" t="s">
        <v>404</v>
      </c>
      <c r="J79" s="1" t="s">
        <v>27</v>
      </c>
      <c r="K79" s="1" t="s">
        <v>131</v>
      </c>
      <c r="L79" s="1" t="s">
        <v>25</v>
      </c>
      <c r="M79" s="1" t="str">
        <f>IF(LEFT(results_context_via_permalink_gpt_5_2025_08_07_with_justification_run1__2[[#This Row],[LLM_response]],21)="CONTEXT_ACCESSED: yes","X","")</f>
        <v>X</v>
      </c>
      <c r="N79" s="1" t="s">
        <v>25</v>
      </c>
      <c r="O79" s="1" t="s">
        <v>25</v>
      </c>
      <c r="P79" s="1" t="s">
        <v>25</v>
      </c>
      <c r="Q79" s="1" t="s">
        <v>1285</v>
      </c>
      <c r="R79" s="1" t="s">
        <v>131</v>
      </c>
      <c r="S79" s="1" t="str">
        <f>IF(results_context_via_permalink_gpt_5_2025_08_07_with_justification_run1__2[[#This Row],[they_type]]=results_context_via_permalink_gpt_5_2025_08_07_with_justification_run1__2[[#This Row],[LLM_annotation]],"X","")</f>
        <v>X</v>
      </c>
      <c r="T79" s="1" t="s">
        <v>25</v>
      </c>
    </row>
    <row r="80" spans="1:20" x14ac:dyDescent="0.2">
      <c r="A80" s="1" t="s">
        <v>537</v>
      </c>
      <c r="B80" s="1" t="s">
        <v>538</v>
      </c>
      <c r="C80" s="1" t="s">
        <v>539</v>
      </c>
      <c r="D80" s="1" t="s">
        <v>540</v>
      </c>
      <c r="E80" s="1" t="s">
        <v>541</v>
      </c>
      <c r="F80" s="1" t="s">
        <v>542</v>
      </c>
      <c r="G80" s="1" t="s">
        <v>25</v>
      </c>
      <c r="H80">
        <v>15698978250</v>
      </c>
      <c r="I80" s="1" t="s">
        <v>450</v>
      </c>
      <c r="J80" s="1" t="s">
        <v>27</v>
      </c>
      <c r="K80" s="1" t="s">
        <v>131</v>
      </c>
      <c r="L80" s="1" t="s">
        <v>25</v>
      </c>
      <c r="M80" s="1" t="str">
        <f>IF(LEFT(results_context_via_permalink_gpt_5_2025_08_07_with_justification_run1__2[[#This Row],[LLM_response]],21)="CONTEXT_ACCESSED: yes","X","")</f>
        <v>X</v>
      </c>
      <c r="N80" s="1" t="s">
        <v>25</v>
      </c>
      <c r="O80" s="1" t="s">
        <v>25</v>
      </c>
      <c r="P80" s="1" t="s">
        <v>25</v>
      </c>
      <c r="Q80" s="1" t="s">
        <v>1286</v>
      </c>
      <c r="R80" s="1" t="s">
        <v>131</v>
      </c>
      <c r="S80" s="1" t="str">
        <f>IF(results_context_via_permalink_gpt_5_2025_08_07_with_justification_run1__2[[#This Row],[they_type]]=results_context_via_permalink_gpt_5_2025_08_07_with_justification_run1__2[[#This Row],[LLM_annotation]],"X","")</f>
        <v>X</v>
      </c>
      <c r="T80" s="1" t="s">
        <v>25</v>
      </c>
    </row>
    <row r="81" spans="1:20" x14ac:dyDescent="0.2">
      <c r="A81" s="1" t="s">
        <v>544</v>
      </c>
      <c r="B81" s="1" t="s">
        <v>545</v>
      </c>
      <c r="C81" s="1" t="s">
        <v>546</v>
      </c>
      <c r="D81" s="1" t="s">
        <v>547</v>
      </c>
      <c r="E81" s="1" t="s">
        <v>548</v>
      </c>
      <c r="F81" s="1" t="s">
        <v>549</v>
      </c>
      <c r="G81" s="1" t="s">
        <v>25</v>
      </c>
      <c r="H81">
        <v>15698980710</v>
      </c>
      <c r="I81" s="1" t="s">
        <v>427</v>
      </c>
      <c r="J81" s="1" t="s">
        <v>27</v>
      </c>
      <c r="K81" s="1" t="s">
        <v>131</v>
      </c>
      <c r="L81" s="1" t="s">
        <v>25</v>
      </c>
      <c r="M81" s="1" t="str">
        <f>IF(LEFT(results_context_via_permalink_gpt_5_2025_08_07_with_justification_run1__2[[#This Row],[LLM_response]],21)="CONTEXT_ACCESSED: yes","X","")</f>
        <v>X</v>
      </c>
      <c r="N81" s="1" t="s">
        <v>25</v>
      </c>
      <c r="O81" s="1" t="s">
        <v>25</v>
      </c>
      <c r="P81" s="1" t="s">
        <v>25</v>
      </c>
      <c r="Q81" s="1" t="s">
        <v>1287</v>
      </c>
      <c r="R81" s="1" t="s">
        <v>131</v>
      </c>
      <c r="S81" s="1" t="str">
        <f>IF(results_context_via_permalink_gpt_5_2025_08_07_with_justification_run1__2[[#This Row],[they_type]]=results_context_via_permalink_gpt_5_2025_08_07_with_justification_run1__2[[#This Row],[LLM_annotation]],"X","")</f>
        <v>X</v>
      </c>
      <c r="T81" s="1" t="s">
        <v>25</v>
      </c>
    </row>
    <row r="82" spans="1:20" x14ac:dyDescent="0.2">
      <c r="A82" s="1" t="s">
        <v>551</v>
      </c>
      <c r="B82" s="1" t="s">
        <v>552</v>
      </c>
      <c r="C82" s="1" t="s">
        <v>553</v>
      </c>
      <c r="D82" s="1" t="s">
        <v>554</v>
      </c>
      <c r="E82" s="1" t="s">
        <v>555</v>
      </c>
      <c r="F82" s="1" t="s">
        <v>556</v>
      </c>
      <c r="G82" s="1" t="s">
        <v>557</v>
      </c>
      <c r="H82">
        <v>16226087710</v>
      </c>
      <c r="I82" s="1" t="s">
        <v>404</v>
      </c>
      <c r="J82" s="1" t="s">
        <v>27</v>
      </c>
      <c r="K82" s="1" t="s">
        <v>131</v>
      </c>
      <c r="L82" s="1" t="s">
        <v>25</v>
      </c>
      <c r="M82" s="1" t="str">
        <f>IF(LEFT(results_context_via_permalink_gpt_5_2025_08_07_with_justification_run1__2[[#This Row],[LLM_response]],21)="CONTEXT_ACCESSED: yes","X","")</f>
        <v>X</v>
      </c>
      <c r="N82" s="1" t="s">
        <v>25</v>
      </c>
      <c r="O82" s="1" t="s">
        <v>25</v>
      </c>
      <c r="P82" s="1" t="s">
        <v>25</v>
      </c>
      <c r="Q82" s="1" t="s">
        <v>1288</v>
      </c>
      <c r="R82" s="1" t="s">
        <v>131</v>
      </c>
      <c r="S82" s="1" t="str">
        <f>IF(results_context_via_permalink_gpt_5_2025_08_07_with_justification_run1__2[[#This Row],[they_type]]=results_context_via_permalink_gpt_5_2025_08_07_with_justification_run1__2[[#This Row],[LLM_annotation]],"X","")</f>
        <v>X</v>
      </c>
      <c r="T82" s="1" t="s">
        <v>25</v>
      </c>
    </row>
    <row r="83" spans="1:20" x14ac:dyDescent="0.2">
      <c r="A83" s="1" t="s">
        <v>559</v>
      </c>
      <c r="B83" s="1" t="s">
        <v>560</v>
      </c>
      <c r="C83" s="1" t="s">
        <v>561</v>
      </c>
      <c r="D83" s="1" t="s">
        <v>562</v>
      </c>
      <c r="E83" s="1" t="s">
        <v>563</v>
      </c>
      <c r="F83" s="1" t="s">
        <v>564</v>
      </c>
      <c r="G83" s="1" t="s">
        <v>25</v>
      </c>
      <c r="H83">
        <v>16226088750</v>
      </c>
      <c r="I83" s="1" t="s">
        <v>450</v>
      </c>
      <c r="J83" s="1" t="s">
        <v>27</v>
      </c>
      <c r="K83" s="1" t="s">
        <v>28</v>
      </c>
      <c r="L83" s="1" t="s">
        <v>25</v>
      </c>
      <c r="M83" s="1" t="str">
        <f>IF(LEFT(results_context_via_permalink_gpt_5_2025_08_07_with_justification_run1__2[[#This Row],[LLM_response]],21)="CONTEXT_ACCESSED: yes","X","")</f>
        <v>X</v>
      </c>
      <c r="N83" s="1" t="s">
        <v>25</v>
      </c>
      <c r="O83" s="1" t="s">
        <v>25</v>
      </c>
      <c r="P83" s="1" t="s">
        <v>27</v>
      </c>
      <c r="Q83" s="1" t="s">
        <v>1289</v>
      </c>
      <c r="R83" s="1" t="s">
        <v>36</v>
      </c>
      <c r="S83" s="1" t="str">
        <f>IF(results_context_via_permalink_gpt_5_2025_08_07_with_justification_run1__2[[#This Row],[they_type]]=results_context_via_permalink_gpt_5_2025_08_07_with_justification_run1__2[[#This Row],[LLM_annotation]],"X","")</f>
        <v/>
      </c>
      <c r="T83" s="1" t="s">
        <v>25</v>
      </c>
    </row>
    <row r="84" spans="1:20" x14ac:dyDescent="0.2">
      <c r="A84" s="1" t="s">
        <v>566</v>
      </c>
      <c r="B84" s="1" t="s">
        <v>567</v>
      </c>
      <c r="C84" s="1" t="s">
        <v>568</v>
      </c>
      <c r="D84" s="1" t="s">
        <v>569</v>
      </c>
      <c r="E84" s="1" t="s">
        <v>570</v>
      </c>
      <c r="F84" s="1" t="s">
        <v>571</v>
      </c>
      <c r="G84" s="1" t="s">
        <v>25</v>
      </c>
      <c r="H84">
        <v>15698983860</v>
      </c>
      <c r="I84" s="1" t="s">
        <v>450</v>
      </c>
      <c r="J84" s="1" t="s">
        <v>27</v>
      </c>
      <c r="K84" s="1" t="s">
        <v>36</v>
      </c>
      <c r="L84" s="1" t="s">
        <v>27</v>
      </c>
      <c r="M84" s="1" t="str">
        <f>IF(LEFT(results_context_via_permalink_gpt_5_2025_08_07_with_justification_run1__2[[#This Row],[LLM_response]],21)="CONTEXT_ACCESSED: yes","X","")</f>
        <v>X</v>
      </c>
      <c r="N84" s="1" t="s">
        <v>25</v>
      </c>
      <c r="O84" s="1" t="s">
        <v>25</v>
      </c>
      <c r="P84" s="1" t="s">
        <v>27</v>
      </c>
      <c r="Q84" s="1" t="s">
        <v>1290</v>
      </c>
      <c r="R84" s="1" t="s">
        <v>36</v>
      </c>
      <c r="S84" s="1" t="str">
        <f>IF(results_context_via_permalink_gpt_5_2025_08_07_with_justification_run1__2[[#This Row],[they_type]]=results_context_via_permalink_gpt_5_2025_08_07_with_justification_run1__2[[#This Row],[LLM_annotation]],"X","")</f>
        <v>X</v>
      </c>
      <c r="T84" s="1" t="s">
        <v>25</v>
      </c>
    </row>
    <row r="85" spans="1:20" x14ac:dyDescent="0.2">
      <c r="A85" s="1" t="s">
        <v>573</v>
      </c>
      <c r="B85" s="1" t="s">
        <v>574</v>
      </c>
      <c r="C85" s="1" t="s">
        <v>575</v>
      </c>
      <c r="D85" s="1" t="s">
        <v>576</v>
      </c>
      <c r="E85" s="1" t="s">
        <v>577</v>
      </c>
      <c r="F85" s="1" t="s">
        <v>578</v>
      </c>
      <c r="G85" s="1" t="s">
        <v>25</v>
      </c>
      <c r="H85">
        <v>16226102190</v>
      </c>
      <c r="I85" s="1" t="s">
        <v>368</v>
      </c>
      <c r="J85" s="1" t="s">
        <v>27</v>
      </c>
      <c r="K85" s="1" t="s">
        <v>36</v>
      </c>
      <c r="L85" s="1" t="s">
        <v>25</v>
      </c>
      <c r="M85" s="1" t="str">
        <f>IF(LEFT(results_context_via_permalink_gpt_5_2025_08_07_with_justification_run1__2[[#This Row],[LLM_response]],21)="CONTEXT_ACCESSED: yes","X","")</f>
        <v/>
      </c>
      <c r="N85" s="1" t="s">
        <v>25</v>
      </c>
      <c r="O85" s="1" t="s">
        <v>25</v>
      </c>
      <c r="P85" s="1" t="s">
        <v>25</v>
      </c>
      <c r="Q85" s="1" t="s">
        <v>1291</v>
      </c>
      <c r="R85" s="1" t="s">
        <v>36</v>
      </c>
      <c r="S85" s="1" t="str">
        <f>IF(results_context_via_permalink_gpt_5_2025_08_07_with_justification_run1__2[[#This Row],[they_type]]=results_context_via_permalink_gpt_5_2025_08_07_with_justification_run1__2[[#This Row],[LLM_annotation]],"X","")</f>
        <v>X</v>
      </c>
      <c r="T85" s="1" t="s">
        <v>25</v>
      </c>
    </row>
    <row r="86" spans="1:20" x14ac:dyDescent="0.2">
      <c r="A86" s="1" t="s">
        <v>580</v>
      </c>
      <c r="B86" s="1" t="s">
        <v>581</v>
      </c>
      <c r="C86" s="1" t="s">
        <v>582</v>
      </c>
      <c r="D86" s="1" t="s">
        <v>583</v>
      </c>
      <c r="E86" s="1" t="s">
        <v>33</v>
      </c>
      <c r="F86" s="1" t="s">
        <v>584</v>
      </c>
      <c r="G86" s="1" t="s">
        <v>25</v>
      </c>
      <c r="H86">
        <v>16226104680</v>
      </c>
      <c r="I86" s="1" t="s">
        <v>450</v>
      </c>
      <c r="J86" s="1" t="s">
        <v>27</v>
      </c>
      <c r="K86" s="1" t="s">
        <v>131</v>
      </c>
      <c r="L86" s="1" t="s">
        <v>27</v>
      </c>
      <c r="M86" s="1" t="str">
        <f>IF(LEFT(results_context_via_permalink_gpt_5_2025_08_07_with_justification_run1__2[[#This Row],[LLM_response]],21)="CONTEXT_ACCESSED: yes","X","")</f>
        <v>X</v>
      </c>
      <c r="N86" s="1" t="s">
        <v>25</v>
      </c>
      <c r="O86" s="1" t="s">
        <v>25</v>
      </c>
      <c r="P86" s="1" t="s">
        <v>27</v>
      </c>
      <c r="Q86" s="1" t="s">
        <v>1292</v>
      </c>
      <c r="R86" s="1" t="s">
        <v>131</v>
      </c>
      <c r="S86" s="1" t="str">
        <f>IF(results_context_via_permalink_gpt_5_2025_08_07_with_justification_run1__2[[#This Row],[they_type]]=results_context_via_permalink_gpt_5_2025_08_07_with_justification_run1__2[[#This Row],[LLM_annotation]],"X","")</f>
        <v>X</v>
      </c>
      <c r="T86" s="1" t="s">
        <v>25</v>
      </c>
    </row>
    <row r="87" spans="1:20" x14ac:dyDescent="0.2">
      <c r="A87" s="1" t="s">
        <v>586</v>
      </c>
      <c r="B87" s="1" t="s">
        <v>437</v>
      </c>
      <c r="C87" s="1" t="s">
        <v>587</v>
      </c>
      <c r="D87" s="1" t="s">
        <v>588</v>
      </c>
      <c r="E87" s="1" t="s">
        <v>589</v>
      </c>
      <c r="F87" s="1" t="s">
        <v>590</v>
      </c>
      <c r="G87" s="1" t="s">
        <v>591</v>
      </c>
      <c r="H87">
        <v>16226135880</v>
      </c>
      <c r="I87" s="1" t="s">
        <v>450</v>
      </c>
      <c r="J87" s="1" t="s">
        <v>27</v>
      </c>
      <c r="K87" s="1" t="s">
        <v>131</v>
      </c>
      <c r="L87" s="1" t="s">
        <v>25</v>
      </c>
      <c r="M87" s="1" t="str">
        <f>IF(LEFT(results_context_via_permalink_gpt_5_2025_08_07_with_justification_run1__2[[#This Row],[LLM_response]],21)="CONTEXT_ACCESSED: yes","X","")</f>
        <v/>
      </c>
      <c r="N87" s="1" t="s">
        <v>25</v>
      </c>
      <c r="O87" s="1" t="s">
        <v>25</v>
      </c>
      <c r="P87" s="1" t="s">
        <v>25</v>
      </c>
      <c r="Q87" s="1" t="s">
        <v>1293</v>
      </c>
      <c r="R87" s="1" t="s">
        <v>131</v>
      </c>
      <c r="S87" s="1" t="str">
        <f>IF(results_context_via_permalink_gpt_5_2025_08_07_with_justification_run1__2[[#This Row],[they_type]]=results_context_via_permalink_gpt_5_2025_08_07_with_justification_run1__2[[#This Row],[LLM_annotation]],"X","")</f>
        <v>X</v>
      </c>
      <c r="T87" s="1" t="s">
        <v>25</v>
      </c>
    </row>
    <row r="88" spans="1:20" x14ac:dyDescent="0.2">
      <c r="A88" s="1" t="s">
        <v>593</v>
      </c>
      <c r="B88" s="1" t="s">
        <v>594</v>
      </c>
      <c r="C88" s="1" t="s">
        <v>595</v>
      </c>
      <c r="D88" s="1" t="s">
        <v>596</v>
      </c>
      <c r="E88" s="1" t="s">
        <v>597</v>
      </c>
      <c r="F88" s="1" t="s">
        <v>598</v>
      </c>
      <c r="G88" s="1" t="s">
        <v>25</v>
      </c>
      <c r="H88">
        <v>16226193530</v>
      </c>
      <c r="I88" s="1" t="s">
        <v>450</v>
      </c>
      <c r="J88" s="1" t="s">
        <v>27</v>
      </c>
      <c r="K88" s="1" t="s">
        <v>131</v>
      </c>
      <c r="L88" s="1" t="s">
        <v>25</v>
      </c>
      <c r="M88" s="1" t="str">
        <f>IF(LEFT(results_context_via_permalink_gpt_5_2025_08_07_with_justification_run1__2[[#This Row],[LLM_response]],21)="CONTEXT_ACCESSED: yes","X","")</f>
        <v>X</v>
      </c>
      <c r="N88" s="1" t="s">
        <v>25</v>
      </c>
      <c r="O88" s="1" t="s">
        <v>25</v>
      </c>
      <c r="P88" s="1" t="s">
        <v>27</v>
      </c>
      <c r="Q88" s="1" t="s">
        <v>1294</v>
      </c>
      <c r="R88" s="1" t="s">
        <v>131</v>
      </c>
      <c r="S88" s="1" t="str">
        <f>IF(results_context_via_permalink_gpt_5_2025_08_07_with_justification_run1__2[[#This Row],[they_type]]=results_context_via_permalink_gpt_5_2025_08_07_with_justification_run1__2[[#This Row],[LLM_annotation]],"X","")</f>
        <v>X</v>
      </c>
      <c r="T88" s="1" t="s">
        <v>25</v>
      </c>
    </row>
    <row r="89" spans="1:20" x14ac:dyDescent="0.2">
      <c r="A89" s="1" t="s">
        <v>600</v>
      </c>
      <c r="B89" s="1" t="s">
        <v>601</v>
      </c>
      <c r="C89" s="1" t="s">
        <v>602</v>
      </c>
      <c r="D89" s="1" t="s">
        <v>603</v>
      </c>
      <c r="E89" s="1" t="s">
        <v>604</v>
      </c>
      <c r="F89" s="1" t="s">
        <v>605</v>
      </c>
      <c r="G89" s="1" t="s">
        <v>25</v>
      </c>
      <c r="H89">
        <v>15698995040</v>
      </c>
      <c r="I89" s="1" t="s">
        <v>606</v>
      </c>
      <c r="J89" s="1" t="s">
        <v>27</v>
      </c>
      <c r="K89" s="1" t="s">
        <v>28</v>
      </c>
      <c r="L89" s="1" t="s">
        <v>25</v>
      </c>
      <c r="M89" s="1" t="str">
        <f>IF(LEFT(results_context_via_permalink_gpt_5_2025_08_07_with_justification_run1__2[[#This Row],[LLM_response]],21)="CONTEXT_ACCESSED: yes","X","")</f>
        <v/>
      </c>
      <c r="N89" s="1" t="s">
        <v>25</v>
      </c>
      <c r="O89" s="1" t="s">
        <v>25</v>
      </c>
      <c r="P89" s="1" t="s">
        <v>25</v>
      </c>
      <c r="Q89" s="1" t="s">
        <v>1295</v>
      </c>
      <c r="R89" s="1" t="s">
        <v>28</v>
      </c>
      <c r="S89" s="1" t="str">
        <f>IF(results_context_via_permalink_gpt_5_2025_08_07_with_justification_run1__2[[#This Row],[they_type]]=results_context_via_permalink_gpt_5_2025_08_07_with_justification_run1__2[[#This Row],[LLM_annotation]],"X","")</f>
        <v>X</v>
      </c>
      <c r="T89" s="1" t="s">
        <v>25</v>
      </c>
    </row>
    <row r="90" spans="1:20" x14ac:dyDescent="0.2">
      <c r="A90" s="1" t="s">
        <v>608</v>
      </c>
      <c r="B90" s="1" t="s">
        <v>609</v>
      </c>
      <c r="C90" s="1" t="s">
        <v>610</v>
      </c>
      <c r="D90" s="1" t="s">
        <v>611</v>
      </c>
      <c r="E90" s="1" t="s">
        <v>612</v>
      </c>
      <c r="F90" s="1" t="s">
        <v>613</v>
      </c>
      <c r="G90" s="1" t="s">
        <v>614</v>
      </c>
      <c r="H90">
        <v>16226247230</v>
      </c>
      <c r="I90" s="1" t="s">
        <v>615</v>
      </c>
      <c r="J90" s="1" t="s">
        <v>27</v>
      </c>
      <c r="K90" s="1" t="s">
        <v>131</v>
      </c>
      <c r="L90" s="1" t="s">
        <v>25</v>
      </c>
      <c r="M90" s="1" t="str">
        <f>IF(LEFT(results_context_via_permalink_gpt_5_2025_08_07_with_justification_run1__2[[#This Row],[LLM_response]],21)="CONTEXT_ACCESSED: yes","X","")</f>
        <v>X</v>
      </c>
      <c r="N90" s="1" t="s">
        <v>25</v>
      </c>
      <c r="O90" s="1" t="s">
        <v>25</v>
      </c>
      <c r="P90" s="1" t="s">
        <v>25</v>
      </c>
      <c r="Q90" s="1" t="s">
        <v>1296</v>
      </c>
      <c r="R90" s="1" t="s">
        <v>131</v>
      </c>
      <c r="S90" s="1" t="str">
        <f>IF(results_context_via_permalink_gpt_5_2025_08_07_with_justification_run1__2[[#This Row],[they_type]]=results_context_via_permalink_gpt_5_2025_08_07_with_justification_run1__2[[#This Row],[LLM_annotation]],"X","")</f>
        <v>X</v>
      </c>
      <c r="T90" s="1" t="s">
        <v>25</v>
      </c>
    </row>
    <row r="91" spans="1:20" x14ac:dyDescent="0.2">
      <c r="A91" s="1" t="s">
        <v>617</v>
      </c>
      <c r="B91" s="1" t="s">
        <v>618</v>
      </c>
      <c r="C91" s="1" t="s">
        <v>619</v>
      </c>
      <c r="D91" s="1" t="s">
        <v>620</v>
      </c>
      <c r="E91" s="1" t="s">
        <v>621</v>
      </c>
      <c r="F91" s="1" t="s">
        <v>622</v>
      </c>
      <c r="G91" s="1" t="s">
        <v>25</v>
      </c>
      <c r="H91">
        <v>15698997380</v>
      </c>
      <c r="I91" s="1" t="s">
        <v>404</v>
      </c>
      <c r="J91" s="1" t="s">
        <v>27</v>
      </c>
      <c r="K91" s="1" t="s">
        <v>36</v>
      </c>
      <c r="L91" s="1" t="s">
        <v>25</v>
      </c>
      <c r="M91" s="1" t="str">
        <f>IF(LEFT(results_context_via_permalink_gpt_5_2025_08_07_with_justification_run1__2[[#This Row],[LLM_response]],21)="CONTEXT_ACCESSED: yes","X","")</f>
        <v>X</v>
      </c>
      <c r="N91" s="1" t="s">
        <v>25</v>
      </c>
      <c r="O91" s="1" t="s">
        <v>27</v>
      </c>
      <c r="P91" s="1" t="s">
        <v>25</v>
      </c>
      <c r="Q91" s="1" t="s">
        <v>1297</v>
      </c>
      <c r="R91" s="1" t="s">
        <v>28</v>
      </c>
      <c r="S91" s="1" t="str">
        <f>IF(results_context_via_permalink_gpt_5_2025_08_07_with_justification_run1__2[[#This Row],[they_type]]=results_context_via_permalink_gpt_5_2025_08_07_with_justification_run1__2[[#This Row],[LLM_annotation]],"X","")</f>
        <v/>
      </c>
      <c r="T91" s="1" t="s">
        <v>25</v>
      </c>
    </row>
    <row r="92" spans="1:20" x14ac:dyDescent="0.2">
      <c r="A92" s="1" t="s">
        <v>624</v>
      </c>
      <c r="B92" s="1" t="s">
        <v>625</v>
      </c>
      <c r="C92" s="1" t="s">
        <v>626</v>
      </c>
      <c r="D92" s="1" t="s">
        <v>627</v>
      </c>
      <c r="E92" s="1" t="s">
        <v>628</v>
      </c>
      <c r="F92" s="1" t="s">
        <v>629</v>
      </c>
      <c r="G92" s="1" t="s">
        <v>25</v>
      </c>
      <c r="H92">
        <v>16225170590</v>
      </c>
      <c r="I92" s="1" t="s">
        <v>450</v>
      </c>
      <c r="J92" s="1" t="s">
        <v>27</v>
      </c>
      <c r="K92" s="1" t="s">
        <v>131</v>
      </c>
      <c r="L92" s="1" t="s">
        <v>25</v>
      </c>
      <c r="M92" s="1" t="str">
        <f>IF(LEFT(results_context_via_permalink_gpt_5_2025_08_07_with_justification_run1__2[[#This Row],[LLM_response]],21)="CONTEXT_ACCESSED: yes","X","")</f>
        <v>X</v>
      </c>
      <c r="N92" s="1" t="s">
        <v>25</v>
      </c>
      <c r="O92" s="1" t="s">
        <v>25</v>
      </c>
      <c r="P92" s="1" t="s">
        <v>25</v>
      </c>
      <c r="Q92" s="1" t="s">
        <v>1298</v>
      </c>
      <c r="R92" s="1" t="s">
        <v>131</v>
      </c>
      <c r="S92" s="1" t="str">
        <f>IF(results_context_via_permalink_gpt_5_2025_08_07_with_justification_run1__2[[#This Row],[they_type]]=results_context_via_permalink_gpt_5_2025_08_07_with_justification_run1__2[[#This Row],[LLM_annotation]],"X","")</f>
        <v>X</v>
      </c>
      <c r="T92" s="1" t="s">
        <v>25</v>
      </c>
    </row>
    <row r="93" spans="1:20" x14ac:dyDescent="0.2">
      <c r="A93" s="1" t="s">
        <v>631</v>
      </c>
      <c r="B93" s="1" t="s">
        <v>632</v>
      </c>
      <c r="C93" s="1" t="s">
        <v>633</v>
      </c>
      <c r="D93" s="1" t="s">
        <v>634</v>
      </c>
      <c r="E93" s="1" t="s">
        <v>635</v>
      </c>
      <c r="F93" s="1" t="s">
        <v>636</v>
      </c>
      <c r="G93" s="1" t="s">
        <v>25</v>
      </c>
      <c r="H93">
        <v>15698999300</v>
      </c>
      <c r="I93" s="1" t="s">
        <v>368</v>
      </c>
      <c r="J93" s="1" t="s">
        <v>27</v>
      </c>
      <c r="K93" s="1" t="s">
        <v>131</v>
      </c>
      <c r="L93" s="1" t="s">
        <v>25</v>
      </c>
      <c r="M93" s="1" t="str">
        <f>IF(LEFT(results_context_via_permalink_gpt_5_2025_08_07_with_justification_run1__2[[#This Row],[LLM_response]],21)="CONTEXT_ACCESSED: yes","X","")</f>
        <v/>
      </c>
      <c r="N93" s="1" t="s">
        <v>25</v>
      </c>
      <c r="O93" s="1" t="s">
        <v>25</v>
      </c>
      <c r="P93" s="1" t="s">
        <v>25</v>
      </c>
      <c r="Q93" s="1" t="s">
        <v>1299</v>
      </c>
      <c r="R93" s="1" t="s">
        <v>131</v>
      </c>
      <c r="S93" s="1" t="str">
        <f>IF(results_context_via_permalink_gpt_5_2025_08_07_with_justification_run1__2[[#This Row],[they_type]]=results_context_via_permalink_gpt_5_2025_08_07_with_justification_run1__2[[#This Row],[LLM_annotation]],"X","")</f>
        <v>X</v>
      </c>
      <c r="T93" s="1" t="s">
        <v>25</v>
      </c>
    </row>
    <row r="94" spans="1:20" x14ac:dyDescent="0.2">
      <c r="A94" s="1" t="s">
        <v>638</v>
      </c>
      <c r="B94" s="1" t="s">
        <v>639</v>
      </c>
      <c r="C94" s="1" t="s">
        <v>640</v>
      </c>
      <c r="D94" s="1" t="s">
        <v>641</v>
      </c>
      <c r="E94" s="1" t="s">
        <v>642</v>
      </c>
      <c r="F94" s="1" t="s">
        <v>643</v>
      </c>
      <c r="G94" s="1" t="s">
        <v>25</v>
      </c>
      <c r="H94">
        <v>16226338290</v>
      </c>
      <c r="I94" s="1" t="s">
        <v>404</v>
      </c>
      <c r="J94" s="1" t="s">
        <v>27</v>
      </c>
      <c r="K94" s="1" t="s">
        <v>131</v>
      </c>
      <c r="L94" s="1" t="s">
        <v>25</v>
      </c>
      <c r="M94" s="1" t="str">
        <f>IF(LEFT(results_context_via_permalink_gpt_5_2025_08_07_with_justification_run1__2[[#This Row],[LLM_response]],21)="CONTEXT_ACCESSED: yes","X","")</f>
        <v/>
      </c>
      <c r="N94" s="1" t="s">
        <v>25</v>
      </c>
      <c r="O94" s="1" t="s">
        <v>25</v>
      </c>
      <c r="P94" s="1" t="s">
        <v>25</v>
      </c>
      <c r="Q94" s="1" t="s">
        <v>1300</v>
      </c>
      <c r="R94" s="1" t="s">
        <v>131</v>
      </c>
      <c r="S94" s="1" t="str">
        <f>IF(results_context_via_permalink_gpt_5_2025_08_07_with_justification_run1__2[[#This Row],[they_type]]=results_context_via_permalink_gpt_5_2025_08_07_with_justification_run1__2[[#This Row],[LLM_annotation]],"X","")</f>
        <v>X</v>
      </c>
      <c r="T94" s="1" t="s">
        <v>25</v>
      </c>
    </row>
    <row r="95" spans="1:20" x14ac:dyDescent="0.2">
      <c r="A95" s="1" t="s">
        <v>645</v>
      </c>
      <c r="B95" s="1" t="s">
        <v>30</v>
      </c>
      <c r="C95" s="1" t="s">
        <v>646</v>
      </c>
      <c r="D95" s="1" t="s">
        <v>647</v>
      </c>
      <c r="E95" s="1" t="s">
        <v>648</v>
      </c>
      <c r="F95" s="1" t="s">
        <v>649</v>
      </c>
      <c r="G95" s="1" t="s">
        <v>650</v>
      </c>
      <c r="H95">
        <v>15699008900</v>
      </c>
      <c r="I95" s="1" t="s">
        <v>450</v>
      </c>
      <c r="J95" s="1" t="s">
        <v>27</v>
      </c>
      <c r="K95" s="1" t="s">
        <v>131</v>
      </c>
      <c r="L95" s="1" t="s">
        <v>25</v>
      </c>
      <c r="M95" s="1" t="str">
        <f>IF(LEFT(results_context_via_permalink_gpt_5_2025_08_07_with_justification_run1__2[[#This Row],[LLM_response]],21)="CONTEXT_ACCESSED: yes","X","")</f>
        <v>X</v>
      </c>
      <c r="N95" s="1" t="s">
        <v>25</v>
      </c>
      <c r="O95" s="1" t="s">
        <v>25</v>
      </c>
      <c r="P95" s="1" t="s">
        <v>27</v>
      </c>
      <c r="Q95" s="1" t="s">
        <v>1301</v>
      </c>
      <c r="R95" s="1" t="s">
        <v>131</v>
      </c>
      <c r="S95" s="1" t="str">
        <f>IF(results_context_via_permalink_gpt_5_2025_08_07_with_justification_run1__2[[#This Row],[they_type]]=results_context_via_permalink_gpt_5_2025_08_07_with_justification_run1__2[[#This Row],[LLM_annotation]],"X","")</f>
        <v>X</v>
      </c>
      <c r="T95" s="1" t="s">
        <v>25</v>
      </c>
    </row>
    <row r="96" spans="1:20" x14ac:dyDescent="0.2">
      <c r="A96" s="1" t="s">
        <v>652</v>
      </c>
      <c r="B96" s="1" t="s">
        <v>653</v>
      </c>
      <c r="C96" s="1" t="s">
        <v>654</v>
      </c>
      <c r="D96" s="1" t="s">
        <v>655</v>
      </c>
      <c r="E96" s="1" t="s">
        <v>656</v>
      </c>
      <c r="F96" s="1" t="s">
        <v>657</v>
      </c>
      <c r="G96" s="1" t="s">
        <v>25</v>
      </c>
      <c r="H96">
        <v>16225182270</v>
      </c>
      <c r="I96" s="1" t="s">
        <v>450</v>
      </c>
      <c r="J96" s="1" t="s">
        <v>27</v>
      </c>
      <c r="K96" s="1" t="s">
        <v>28</v>
      </c>
      <c r="L96" s="1" t="s">
        <v>25</v>
      </c>
      <c r="M96" s="1" t="str">
        <f>IF(LEFT(results_context_via_permalink_gpt_5_2025_08_07_with_justification_run1__2[[#This Row],[LLM_response]],21)="CONTEXT_ACCESSED: yes","X","")</f>
        <v>X</v>
      </c>
      <c r="N96" s="1" t="s">
        <v>25</v>
      </c>
      <c r="O96" s="1" t="s">
        <v>25</v>
      </c>
      <c r="P96" s="1" t="s">
        <v>25</v>
      </c>
      <c r="Q96" s="1" t="s">
        <v>1302</v>
      </c>
      <c r="R96" s="1" t="s">
        <v>28</v>
      </c>
      <c r="S96" s="1" t="str">
        <f>IF(results_context_via_permalink_gpt_5_2025_08_07_with_justification_run1__2[[#This Row],[they_type]]=results_context_via_permalink_gpt_5_2025_08_07_with_justification_run1__2[[#This Row],[LLM_annotation]],"X","")</f>
        <v>X</v>
      </c>
      <c r="T96" s="1" t="s">
        <v>25</v>
      </c>
    </row>
    <row r="97" spans="1:20" x14ac:dyDescent="0.2">
      <c r="A97" s="1" t="s">
        <v>659</v>
      </c>
      <c r="B97" s="1" t="s">
        <v>660</v>
      </c>
      <c r="C97" s="1" t="s">
        <v>661</v>
      </c>
      <c r="D97" s="1" t="s">
        <v>662</v>
      </c>
      <c r="E97" s="1" t="s">
        <v>663</v>
      </c>
      <c r="F97" s="1" t="s">
        <v>664</v>
      </c>
      <c r="G97" s="1" t="s">
        <v>25</v>
      </c>
      <c r="H97">
        <v>16226412810</v>
      </c>
      <c r="I97" s="1" t="s">
        <v>450</v>
      </c>
      <c r="J97" s="1" t="s">
        <v>27</v>
      </c>
      <c r="K97" s="1" t="s">
        <v>131</v>
      </c>
      <c r="L97" s="1" t="s">
        <v>25</v>
      </c>
      <c r="M97" s="1" t="str">
        <f>IF(LEFT(results_context_via_permalink_gpt_5_2025_08_07_with_justification_run1__2[[#This Row],[LLM_response]],21)="CONTEXT_ACCESSED: yes","X","")</f>
        <v>X</v>
      </c>
      <c r="N97" s="1" t="s">
        <v>25</v>
      </c>
      <c r="O97" s="1" t="s">
        <v>25</v>
      </c>
      <c r="P97" s="1" t="s">
        <v>25</v>
      </c>
      <c r="Q97" s="1" t="s">
        <v>1303</v>
      </c>
      <c r="R97" s="1" t="s">
        <v>131</v>
      </c>
      <c r="S97" s="1" t="str">
        <f>IF(results_context_via_permalink_gpt_5_2025_08_07_with_justification_run1__2[[#This Row],[they_type]]=results_context_via_permalink_gpt_5_2025_08_07_with_justification_run1__2[[#This Row],[LLM_annotation]],"X","")</f>
        <v>X</v>
      </c>
      <c r="T97" s="1" t="s">
        <v>25</v>
      </c>
    </row>
    <row r="98" spans="1:20" x14ac:dyDescent="0.2">
      <c r="A98" s="1" t="s">
        <v>666</v>
      </c>
      <c r="B98" s="1" t="s">
        <v>667</v>
      </c>
      <c r="C98" s="1" t="s">
        <v>668</v>
      </c>
      <c r="D98" s="1" t="s">
        <v>669</v>
      </c>
      <c r="E98" s="1" t="s">
        <v>670</v>
      </c>
      <c r="F98" s="1" t="s">
        <v>671</v>
      </c>
      <c r="G98" s="1" t="s">
        <v>25</v>
      </c>
      <c r="H98">
        <v>16226424690</v>
      </c>
      <c r="I98" s="1" t="s">
        <v>450</v>
      </c>
      <c r="J98" s="1" t="s">
        <v>27</v>
      </c>
      <c r="K98" s="1" t="s">
        <v>28</v>
      </c>
      <c r="L98" s="1" t="s">
        <v>25</v>
      </c>
      <c r="M98" s="1" t="str">
        <f>IF(LEFT(results_context_via_permalink_gpt_5_2025_08_07_with_justification_run1__2[[#This Row],[LLM_response]],21)="CONTEXT_ACCESSED: yes","X","")</f>
        <v>X</v>
      </c>
      <c r="N98" s="1" t="s">
        <v>25</v>
      </c>
      <c r="O98" s="1" t="s">
        <v>25</v>
      </c>
      <c r="P98" s="1" t="s">
        <v>25</v>
      </c>
      <c r="Q98" s="1" t="s">
        <v>1304</v>
      </c>
      <c r="R98" s="1" t="s">
        <v>131</v>
      </c>
      <c r="S98" s="1" t="str">
        <f>IF(results_context_via_permalink_gpt_5_2025_08_07_with_justification_run1__2[[#This Row],[they_type]]=results_context_via_permalink_gpt_5_2025_08_07_with_justification_run1__2[[#This Row],[LLM_annotation]],"X","")</f>
        <v/>
      </c>
      <c r="T98" s="1" t="s">
        <v>25</v>
      </c>
    </row>
    <row r="99" spans="1:20" x14ac:dyDescent="0.2">
      <c r="A99" s="1" t="s">
        <v>673</v>
      </c>
      <c r="B99" s="1" t="s">
        <v>674</v>
      </c>
      <c r="C99" s="1" t="s">
        <v>675</v>
      </c>
      <c r="D99" s="1" t="s">
        <v>676</v>
      </c>
      <c r="E99" s="1" t="s">
        <v>677</v>
      </c>
      <c r="F99" s="1" t="s">
        <v>678</v>
      </c>
      <c r="G99" s="1" t="s">
        <v>679</v>
      </c>
      <c r="H99">
        <v>15699020780</v>
      </c>
      <c r="I99" s="1" t="s">
        <v>391</v>
      </c>
      <c r="J99" s="1" t="s">
        <v>27</v>
      </c>
      <c r="K99" s="1" t="s">
        <v>36</v>
      </c>
      <c r="L99" s="1" t="s">
        <v>25</v>
      </c>
      <c r="M99" s="1" t="str">
        <f>IF(LEFT(results_context_via_permalink_gpt_5_2025_08_07_with_justification_run1__2[[#This Row],[LLM_response]],21)="CONTEXT_ACCESSED: yes","X","")</f>
        <v/>
      </c>
      <c r="N99" s="1" t="s">
        <v>25</v>
      </c>
      <c r="O99" s="1" t="s">
        <v>25</v>
      </c>
      <c r="P99" s="1" t="s">
        <v>25</v>
      </c>
      <c r="Q99" s="1" t="s">
        <v>1305</v>
      </c>
      <c r="R99" s="1" t="s">
        <v>36</v>
      </c>
      <c r="S99" s="1" t="str">
        <f>IF(results_context_via_permalink_gpt_5_2025_08_07_with_justification_run1__2[[#This Row],[they_type]]=results_context_via_permalink_gpt_5_2025_08_07_with_justification_run1__2[[#This Row],[LLM_annotation]],"X","")</f>
        <v>X</v>
      </c>
      <c r="T99" s="1" t="s">
        <v>25</v>
      </c>
    </row>
    <row r="100" spans="1:20" x14ac:dyDescent="0.2">
      <c r="A100" s="1" t="s">
        <v>681</v>
      </c>
      <c r="B100" s="1" t="s">
        <v>682</v>
      </c>
      <c r="C100" s="1" t="s">
        <v>683</v>
      </c>
      <c r="D100" s="1" t="s">
        <v>684</v>
      </c>
      <c r="E100" s="1" t="s">
        <v>685</v>
      </c>
      <c r="F100" s="1" t="s">
        <v>686</v>
      </c>
      <c r="G100" s="1" t="s">
        <v>25</v>
      </c>
      <c r="H100">
        <v>16226446320</v>
      </c>
      <c r="I100" s="1" t="s">
        <v>450</v>
      </c>
      <c r="J100" s="1" t="s">
        <v>27</v>
      </c>
      <c r="K100" s="1" t="s">
        <v>36</v>
      </c>
      <c r="L100" s="1" t="s">
        <v>25</v>
      </c>
      <c r="M100" s="1" t="str">
        <f>IF(LEFT(results_context_via_permalink_gpt_5_2025_08_07_with_justification_run1__2[[#This Row],[LLM_response]],21)="CONTEXT_ACCESSED: yes","X","")</f>
        <v/>
      </c>
      <c r="N100" s="1" t="s">
        <v>25</v>
      </c>
      <c r="O100" s="1" t="s">
        <v>25</v>
      </c>
      <c r="P100" s="1" t="s">
        <v>25</v>
      </c>
      <c r="Q100" s="1" t="s">
        <v>1306</v>
      </c>
      <c r="R100" s="1" t="s">
        <v>36</v>
      </c>
      <c r="S100" s="1" t="str">
        <f>IF(results_context_via_permalink_gpt_5_2025_08_07_with_justification_run1__2[[#This Row],[they_type]]=results_context_via_permalink_gpt_5_2025_08_07_with_justification_run1__2[[#This Row],[LLM_annotation]],"X","")</f>
        <v>X</v>
      </c>
      <c r="T100" s="1" t="s">
        <v>25</v>
      </c>
    </row>
    <row r="101" spans="1:20" x14ac:dyDescent="0.2">
      <c r="A101" s="1" t="s">
        <v>688</v>
      </c>
      <c r="B101" s="1" t="s">
        <v>689</v>
      </c>
      <c r="C101" s="1" t="s">
        <v>690</v>
      </c>
      <c r="D101" s="1" t="s">
        <v>691</v>
      </c>
      <c r="E101" s="1" t="s">
        <v>692</v>
      </c>
      <c r="F101" s="1" t="s">
        <v>693</v>
      </c>
      <c r="G101" s="1" t="s">
        <v>25</v>
      </c>
      <c r="H101">
        <v>16226512660</v>
      </c>
      <c r="I101" s="1" t="s">
        <v>694</v>
      </c>
      <c r="J101" s="1" t="s">
        <v>27</v>
      </c>
      <c r="K101" s="1" t="s">
        <v>131</v>
      </c>
      <c r="L101" s="1" t="s">
        <v>25</v>
      </c>
      <c r="M101" s="1" t="str">
        <f>IF(LEFT(results_context_via_permalink_gpt_5_2025_08_07_with_justification_run1__2[[#This Row],[LLM_response]],21)="CONTEXT_ACCESSED: yes","X","")</f>
        <v>X</v>
      </c>
      <c r="N101" s="1" t="s">
        <v>25</v>
      </c>
      <c r="O101" s="1" t="s">
        <v>25</v>
      </c>
      <c r="P101" s="1" t="s">
        <v>25</v>
      </c>
      <c r="Q101" s="1" t="s">
        <v>1307</v>
      </c>
      <c r="R101" s="1" t="s">
        <v>131</v>
      </c>
      <c r="S101" s="1" t="str">
        <f>IF(results_context_via_permalink_gpt_5_2025_08_07_with_justification_run1__2[[#This Row],[they_type]]=results_context_via_permalink_gpt_5_2025_08_07_with_justification_run1__2[[#This Row],[LLM_annotation]],"X","")</f>
        <v>X</v>
      </c>
      <c r="T101" s="1" t="s">
        <v>25</v>
      </c>
    </row>
    <row r="102" spans="1:20" x14ac:dyDescent="0.2">
      <c r="A102" s="1" t="s">
        <v>696</v>
      </c>
      <c r="B102" s="1" t="s">
        <v>697</v>
      </c>
      <c r="C102" s="1" t="s">
        <v>698</v>
      </c>
      <c r="D102" s="1" t="s">
        <v>699</v>
      </c>
      <c r="E102" s="1" t="s">
        <v>700</v>
      </c>
      <c r="F102" s="1" t="s">
        <v>701</v>
      </c>
      <c r="G102" s="1" t="s">
        <v>25</v>
      </c>
      <c r="H102">
        <v>16226530630</v>
      </c>
      <c r="I102" s="1" t="s">
        <v>368</v>
      </c>
      <c r="J102" s="1" t="s">
        <v>27</v>
      </c>
      <c r="K102" s="1" t="s">
        <v>131</v>
      </c>
      <c r="L102" s="1" t="s">
        <v>25</v>
      </c>
      <c r="M102" s="1" t="str">
        <f>IF(LEFT(results_context_via_permalink_gpt_5_2025_08_07_with_justification_run1__2[[#This Row],[LLM_response]],21)="CONTEXT_ACCESSED: yes","X","")</f>
        <v>X</v>
      </c>
      <c r="N102" s="1" t="s">
        <v>25</v>
      </c>
      <c r="O102" s="1" t="s">
        <v>25</v>
      </c>
      <c r="P102" s="1" t="s">
        <v>25</v>
      </c>
      <c r="Q102" s="1" t="s">
        <v>1308</v>
      </c>
      <c r="R102" s="1" t="s">
        <v>131</v>
      </c>
      <c r="S102" s="1" t="str">
        <f>IF(results_context_via_permalink_gpt_5_2025_08_07_with_justification_run1__2[[#This Row],[they_type]]=results_context_via_permalink_gpt_5_2025_08_07_with_justification_run1__2[[#This Row],[LLM_annotation]],"X","")</f>
        <v>X</v>
      </c>
      <c r="T102" s="1" t="s">
        <v>25</v>
      </c>
    </row>
    <row r="103" spans="1:20" x14ac:dyDescent="0.2">
      <c r="A103" s="1" t="s">
        <v>703</v>
      </c>
      <c r="B103" s="1" t="s">
        <v>704</v>
      </c>
      <c r="C103" s="1" t="s">
        <v>705</v>
      </c>
      <c r="D103" s="1" t="s">
        <v>706</v>
      </c>
      <c r="E103" s="1" t="s">
        <v>707</v>
      </c>
      <c r="F103" s="1" t="s">
        <v>708</v>
      </c>
      <c r="G103" s="1" t="s">
        <v>709</v>
      </c>
      <c r="H103">
        <v>15699046530</v>
      </c>
      <c r="I103" s="1" t="s">
        <v>368</v>
      </c>
      <c r="J103" s="1" t="s">
        <v>27</v>
      </c>
      <c r="K103" s="1" t="s">
        <v>131</v>
      </c>
      <c r="L103" s="1" t="s">
        <v>27</v>
      </c>
      <c r="M103" s="1" t="str">
        <f>IF(LEFT(results_context_via_permalink_gpt_5_2025_08_07_with_justification_run1__2[[#This Row],[LLM_response]],21)="CONTEXT_ACCESSED: yes","X","")</f>
        <v>X</v>
      </c>
      <c r="N103" s="1" t="s">
        <v>25</v>
      </c>
      <c r="O103" s="1" t="s">
        <v>25</v>
      </c>
      <c r="P103" s="1" t="s">
        <v>27</v>
      </c>
      <c r="Q103" s="1" t="s">
        <v>1309</v>
      </c>
      <c r="R103" s="1" t="s">
        <v>131</v>
      </c>
      <c r="S103" s="1" t="str">
        <f>IF(results_context_via_permalink_gpt_5_2025_08_07_with_justification_run1__2[[#This Row],[they_type]]=results_context_via_permalink_gpt_5_2025_08_07_with_justification_run1__2[[#This Row],[LLM_annotation]],"X","")</f>
        <v>X</v>
      </c>
      <c r="T103" s="1" t="s">
        <v>25</v>
      </c>
    </row>
    <row r="104" spans="1:20" x14ac:dyDescent="0.2">
      <c r="A104" s="1" t="s">
        <v>711</v>
      </c>
      <c r="B104" s="1" t="s">
        <v>712</v>
      </c>
      <c r="C104" s="1" t="s">
        <v>713</v>
      </c>
      <c r="D104" s="1" t="s">
        <v>714</v>
      </c>
      <c r="E104" s="1" t="s">
        <v>715</v>
      </c>
      <c r="F104" s="1" t="s">
        <v>716</v>
      </c>
      <c r="G104" s="1" t="s">
        <v>25</v>
      </c>
      <c r="H104">
        <v>15699048940</v>
      </c>
      <c r="I104" s="1" t="s">
        <v>391</v>
      </c>
      <c r="J104" s="1" t="s">
        <v>27</v>
      </c>
      <c r="K104" s="1" t="s">
        <v>131</v>
      </c>
      <c r="L104" s="1" t="s">
        <v>25</v>
      </c>
      <c r="M104" s="1" t="str">
        <f>IF(LEFT(results_context_via_permalink_gpt_5_2025_08_07_with_justification_run1__2[[#This Row],[LLM_response]],21)="CONTEXT_ACCESSED: yes","X","")</f>
        <v/>
      </c>
      <c r="N104" s="1" t="s">
        <v>25</v>
      </c>
      <c r="O104" s="1" t="s">
        <v>25</v>
      </c>
      <c r="P104" s="1" t="s">
        <v>25</v>
      </c>
      <c r="Q104" s="1" t="s">
        <v>1310</v>
      </c>
      <c r="R104" s="1" t="s">
        <v>131</v>
      </c>
      <c r="S104" s="1" t="str">
        <f>IF(results_context_via_permalink_gpt_5_2025_08_07_with_justification_run1__2[[#This Row],[they_type]]=results_context_via_permalink_gpt_5_2025_08_07_with_justification_run1__2[[#This Row],[LLM_annotation]],"X","")</f>
        <v>X</v>
      </c>
      <c r="T104" s="1" t="s">
        <v>25</v>
      </c>
    </row>
    <row r="105" spans="1:20" x14ac:dyDescent="0.2">
      <c r="A105" s="1" t="s">
        <v>718</v>
      </c>
      <c r="B105" s="1" t="s">
        <v>719</v>
      </c>
      <c r="C105" s="1" t="s">
        <v>720</v>
      </c>
      <c r="D105" s="1" t="s">
        <v>721</v>
      </c>
      <c r="E105" s="1" t="s">
        <v>722</v>
      </c>
      <c r="F105" s="1" t="s">
        <v>723</v>
      </c>
      <c r="G105" s="1" t="s">
        <v>25</v>
      </c>
      <c r="H105">
        <v>16226557360</v>
      </c>
      <c r="I105" s="1" t="s">
        <v>450</v>
      </c>
      <c r="J105" s="1" t="s">
        <v>27</v>
      </c>
      <c r="K105" s="1" t="s">
        <v>28</v>
      </c>
      <c r="L105" s="1" t="s">
        <v>27</v>
      </c>
      <c r="M105" s="1" t="str">
        <f>IF(LEFT(results_context_via_permalink_gpt_5_2025_08_07_with_justification_run1__2[[#This Row],[LLM_response]],21)="CONTEXT_ACCESSED: yes","X","")</f>
        <v>X</v>
      </c>
      <c r="N105" s="1" t="s">
        <v>25</v>
      </c>
      <c r="O105" s="1" t="s">
        <v>25</v>
      </c>
      <c r="P105" s="1" t="s">
        <v>25</v>
      </c>
      <c r="Q105" s="1" t="s">
        <v>1311</v>
      </c>
      <c r="R105" s="1" t="s">
        <v>28</v>
      </c>
      <c r="S105" s="1" t="str">
        <f>IF(results_context_via_permalink_gpt_5_2025_08_07_with_justification_run1__2[[#This Row],[they_type]]=results_context_via_permalink_gpt_5_2025_08_07_with_justification_run1__2[[#This Row],[LLM_annotation]],"X","")</f>
        <v>X</v>
      </c>
      <c r="T105" s="1" t="s">
        <v>25</v>
      </c>
    </row>
    <row r="106" spans="1:20" x14ac:dyDescent="0.2">
      <c r="A106" s="1" t="s">
        <v>725</v>
      </c>
      <c r="B106" s="1" t="s">
        <v>139</v>
      </c>
      <c r="C106" s="1" t="s">
        <v>726</v>
      </c>
      <c r="D106" s="1" t="s">
        <v>727</v>
      </c>
      <c r="E106" s="1" t="s">
        <v>728</v>
      </c>
      <c r="F106" s="1" t="s">
        <v>729</v>
      </c>
      <c r="G106" s="1" t="s">
        <v>730</v>
      </c>
      <c r="H106">
        <v>15699058990</v>
      </c>
      <c r="I106" s="1" t="s">
        <v>450</v>
      </c>
      <c r="J106" s="1" t="s">
        <v>27</v>
      </c>
      <c r="K106" s="1" t="s">
        <v>131</v>
      </c>
      <c r="L106" s="1" t="s">
        <v>25</v>
      </c>
      <c r="M106" s="1" t="str">
        <f>IF(LEFT(results_context_via_permalink_gpt_5_2025_08_07_with_justification_run1__2[[#This Row],[LLM_response]],21)="CONTEXT_ACCESSED: yes","X","")</f>
        <v>X</v>
      </c>
      <c r="N106" s="1" t="s">
        <v>25</v>
      </c>
      <c r="O106" s="1" t="s">
        <v>25</v>
      </c>
      <c r="P106" s="1" t="s">
        <v>25</v>
      </c>
      <c r="Q106" s="1" t="s">
        <v>1312</v>
      </c>
      <c r="R106" s="1" t="s">
        <v>131</v>
      </c>
      <c r="S106" s="1" t="str">
        <f>IF(results_context_via_permalink_gpt_5_2025_08_07_with_justification_run1__2[[#This Row],[they_type]]=results_context_via_permalink_gpt_5_2025_08_07_with_justification_run1__2[[#This Row],[LLM_annotation]],"X","")</f>
        <v>X</v>
      </c>
      <c r="T106" s="1" t="s">
        <v>25</v>
      </c>
    </row>
    <row r="107" spans="1:20" x14ac:dyDescent="0.2">
      <c r="A107" s="1" t="s">
        <v>732</v>
      </c>
      <c r="B107" s="1" t="s">
        <v>733</v>
      </c>
      <c r="C107" s="1" t="s">
        <v>734</v>
      </c>
      <c r="D107" s="1" t="s">
        <v>735</v>
      </c>
      <c r="E107" s="1" t="s">
        <v>736</v>
      </c>
      <c r="F107" s="1" t="s">
        <v>737</v>
      </c>
      <c r="G107" s="1" t="s">
        <v>738</v>
      </c>
      <c r="H107">
        <v>16226599810</v>
      </c>
      <c r="I107" s="1" t="s">
        <v>404</v>
      </c>
      <c r="J107" s="1" t="s">
        <v>27</v>
      </c>
      <c r="K107" s="1" t="s">
        <v>28</v>
      </c>
      <c r="L107" s="1" t="s">
        <v>27</v>
      </c>
      <c r="M107" s="1" t="str">
        <f>IF(LEFT(results_context_via_permalink_gpt_5_2025_08_07_with_justification_run1__2[[#This Row],[LLM_response]],21)="CONTEXT_ACCESSED: yes","X","")</f>
        <v>X</v>
      </c>
      <c r="N107" s="1" t="s">
        <v>25</v>
      </c>
      <c r="O107" s="1" t="s">
        <v>25</v>
      </c>
      <c r="P107" s="1" t="s">
        <v>27</v>
      </c>
      <c r="Q107" s="1" t="s">
        <v>1313</v>
      </c>
      <c r="R107" s="1" t="s">
        <v>131</v>
      </c>
      <c r="S107" s="1" t="str">
        <f>IF(results_context_via_permalink_gpt_5_2025_08_07_with_justification_run1__2[[#This Row],[they_type]]=results_context_via_permalink_gpt_5_2025_08_07_with_justification_run1__2[[#This Row],[LLM_annotation]],"X","")</f>
        <v/>
      </c>
      <c r="T107" s="1" t="s">
        <v>25</v>
      </c>
    </row>
    <row r="108" spans="1:20" x14ac:dyDescent="0.2">
      <c r="A108" s="1" t="s">
        <v>740</v>
      </c>
      <c r="B108" s="1" t="s">
        <v>741</v>
      </c>
      <c r="C108" s="1" t="s">
        <v>742</v>
      </c>
      <c r="D108" s="1" t="s">
        <v>743</v>
      </c>
      <c r="E108" s="1" t="s">
        <v>744</v>
      </c>
      <c r="F108" s="1" t="s">
        <v>745</v>
      </c>
      <c r="G108" s="1" t="s">
        <v>25</v>
      </c>
      <c r="H108">
        <v>15699065690</v>
      </c>
      <c r="I108" s="1" t="s">
        <v>450</v>
      </c>
      <c r="J108" s="1" t="s">
        <v>27</v>
      </c>
      <c r="K108" s="1" t="s">
        <v>131</v>
      </c>
      <c r="L108" s="1" t="s">
        <v>25</v>
      </c>
      <c r="M108" s="1" t="str">
        <f>IF(LEFT(results_context_via_permalink_gpt_5_2025_08_07_with_justification_run1__2[[#This Row],[LLM_response]],21)="CONTEXT_ACCESSED: yes","X","")</f>
        <v/>
      </c>
      <c r="N108" s="1" t="s">
        <v>25</v>
      </c>
      <c r="O108" s="1" t="s">
        <v>25</v>
      </c>
      <c r="P108" s="1" t="s">
        <v>25</v>
      </c>
      <c r="Q108" s="1" t="s">
        <v>1314</v>
      </c>
      <c r="R108" s="1" t="s">
        <v>131</v>
      </c>
      <c r="S108" s="1" t="str">
        <f>IF(results_context_via_permalink_gpt_5_2025_08_07_with_justification_run1__2[[#This Row],[they_type]]=results_context_via_permalink_gpt_5_2025_08_07_with_justification_run1__2[[#This Row],[LLM_annotation]],"X","")</f>
        <v>X</v>
      </c>
      <c r="T108" s="1" t="s">
        <v>25</v>
      </c>
    </row>
    <row r="109" spans="1:20" x14ac:dyDescent="0.2">
      <c r="A109" s="1" t="s">
        <v>747</v>
      </c>
      <c r="B109" s="1" t="s">
        <v>226</v>
      </c>
      <c r="C109" s="1" t="s">
        <v>748</v>
      </c>
      <c r="D109" s="1" t="s">
        <v>749</v>
      </c>
      <c r="E109" s="1" t="s">
        <v>750</v>
      </c>
      <c r="F109" s="1" t="s">
        <v>751</v>
      </c>
      <c r="G109" s="1" t="s">
        <v>25</v>
      </c>
      <c r="H109">
        <v>16226613070</v>
      </c>
      <c r="I109" s="1" t="s">
        <v>404</v>
      </c>
      <c r="J109" s="1" t="s">
        <v>27</v>
      </c>
      <c r="K109" s="1" t="s">
        <v>131</v>
      </c>
      <c r="L109" s="1" t="s">
        <v>25</v>
      </c>
      <c r="M109" s="1" t="str">
        <f>IF(LEFT(results_context_via_permalink_gpt_5_2025_08_07_with_justification_run1__2[[#This Row],[LLM_response]],21)="CONTEXT_ACCESSED: yes","X","")</f>
        <v/>
      </c>
      <c r="N109" s="1" t="s">
        <v>25</v>
      </c>
      <c r="O109" s="1" t="s">
        <v>25</v>
      </c>
      <c r="P109" s="1" t="s">
        <v>27</v>
      </c>
      <c r="Q109" s="1" t="s">
        <v>1315</v>
      </c>
      <c r="R109" s="1" t="s">
        <v>131</v>
      </c>
      <c r="S109" s="1" t="str">
        <f>IF(results_context_via_permalink_gpt_5_2025_08_07_with_justification_run1__2[[#This Row],[they_type]]=results_context_via_permalink_gpt_5_2025_08_07_with_justification_run1__2[[#This Row],[LLM_annotation]],"X","")</f>
        <v>X</v>
      </c>
      <c r="T109" s="1" t="s">
        <v>25</v>
      </c>
    </row>
    <row r="110" spans="1:20" x14ac:dyDescent="0.2">
      <c r="A110" s="1" t="s">
        <v>753</v>
      </c>
      <c r="B110" s="1" t="s">
        <v>754</v>
      </c>
      <c r="C110" s="1" t="s">
        <v>755</v>
      </c>
      <c r="D110" s="1" t="s">
        <v>756</v>
      </c>
      <c r="E110" s="1" t="s">
        <v>757</v>
      </c>
      <c r="F110" s="1" t="s">
        <v>758</v>
      </c>
      <c r="G110" s="1" t="s">
        <v>25</v>
      </c>
      <c r="H110">
        <v>16226716980</v>
      </c>
      <c r="I110" s="1" t="s">
        <v>450</v>
      </c>
      <c r="J110" s="1" t="s">
        <v>27</v>
      </c>
      <c r="K110" s="1" t="s">
        <v>131</v>
      </c>
      <c r="L110" s="1" t="s">
        <v>27</v>
      </c>
      <c r="M110" s="1" t="str">
        <f>IF(LEFT(results_context_via_permalink_gpt_5_2025_08_07_with_justification_run1__2[[#This Row],[LLM_response]],21)="CONTEXT_ACCESSED: yes","X","")</f>
        <v>X</v>
      </c>
      <c r="N110" s="1" t="s">
        <v>25</v>
      </c>
      <c r="O110" s="1" t="s">
        <v>25</v>
      </c>
      <c r="P110" s="1" t="s">
        <v>27</v>
      </c>
      <c r="Q110" s="1" t="s">
        <v>1316</v>
      </c>
      <c r="R110" s="1" t="s">
        <v>131</v>
      </c>
      <c r="S110" s="1" t="str">
        <f>IF(results_context_via_permalink_gpt_5_2025_08_07_with_justification_run1__2[[#This Row],[they_type]]=results_context_via_permalink_gpt_5_2025_08_07_with_justification_run1__2[[#This Row],[LLM_annotation]],"X","")</f>
        <v>X</v>
      </c>
      <c r="T110" s="1" t="s">
        <v>25</v>
      </c>
    </row>
    <row r="111" spans="1:20" x14ac:dyDescent="0.2">
      <c r="A111" s="1" t="s">
        <v>760</v>
      </c>
      <c r="B111" s="1" t="s">
        <v>761</v>
      </c>
      <c r="C111" s="1" t="s">
        <v>762</v>
      </c>
      <c r="D111" s="1" t="s">
        <v>763</v>
      </c>
      <c r="E111" s="1" t="s">
        <v>764</v>
      </c>
      <c r="F111" s="1" t="s">
        <v>765</v>
      </c>
      <c r="G111" s="1" t="s">
        <v>766</v>
      </c>
      <c r="H111">
        <v>15699100840</v>
      </c>
      <c r="I111" s="1" t="s">
        <v>450</v>
      </c>
      <c r="J111" s="1" t="s">
        <v>27</v>
      </c>
      <c r="K111" s="1" t="s">
        <v>36</v>
      </c>
      <c r="L111" s="1" t="s">
        <v>25</v>
      </c>
      <c r="M111" s="1" t="str">
        <f>IF(LEFT(results_context_via_permalink_gpt_5_2025_08_07_with_justification_run1__2[[#This Row],[LLM_response]],21)="CONTEXT_ACCESSED: yes","X","")</f>
        <v/>
      </c>
      <c r="N111" s="1" t="s">
        <v>25</v>
      </c>
      <c r="O111" s="1" t="s">
        <v>25</v>
      </c>
      <c r="P111" s="1" t="s">
        <v>25</v>
      </c>
      <c r="Q111" s="1" t="s">
        <v>1317</v>
      </c>
      <c r="R111" s="1" t="s">
        <v>36</v>
      </c>
      <c r="S111" s="1" t="str">
        <f>IF(results_context_via_permalink_gpt_5_2025_08_07_with_justification_run1__2[[#This Row],[they_type]]=results_context_via_permalink_gpt_5_2025_08_07_with_justification_run1__2[[#This Row],[LLM_annotation]],"X","")</f>
        <v>X</v>
      </c>
      <c r="T111" s="1" t="s">
        <v>25</v>
      </c>
    </row>
    <row r="112" spans="1:20" x14ac:dyDescent="0.2">
      <c r="A112" s="1" t="s">
        <v>768</v>
      </c>
      <c r="B112" s="1" t="s">
        <v>139</v>
      </c>
      <c r="C112" s="1" t="s">
        <v>769</v>
      </c>
      <c r="D112" s="1" t="s">
        <v>770</v>
      </c>
      <c r="E112" s="1" t="s">
        <v>771</v>
      </c>
      <c r="F112" s="1" t="s">
        <v>772</v>
      </c>
      <c r="G112" s="1" t="s">
        <v>25</v>
      </c>
      <c r="H112">
        <v>16226768400</v>
      </c>
      <c r="I112" s="1" t="s">
        <v>471</v>
      </c>
      <c r="J112" s="1" t="s">
        <v>27</v>
      </c>
      <c r="K112" s="1" t="s">
        <v>131</v>
      </c>
      <c r="L112" s="1" t="s">
        <v>25</v>
      </c>
      <c r="M112" s="1" t="str">
        <f>IF(LEFT(results_context_via_permalink_gpt_5_2025_08_07_with_justification_run1__2[[#This Row],[LLM_response]],21)="CONTEXT_ACCESSED: yes","X","")</f>
        <v/>
      </c>
      <c r="N112" s="1" t="s">
        <v>25</v>
      </c>
      <c r="O112" s="1" t="s">
        <v>25</v>
      </c>
      <c r="P112" s="1" t="s">
        <v>25</v>
      </c>
      <c r="Q112" s="1" t="s">
        <v>1318</v>
      </c>
      <c r="R112" s="1" t="s">
        <v>131</v>
      </c>
      <c r="S112" s="1" t="str">
        <f>IF(results_context_via_permalink_gpt_5_2025_08_07_with_justification_run1__2[[#This Row],[they_type]]=results_context_via_permalink_gpt_5_2025_08_07_with_justification_run1__2[[#This Row],[LLM_annotation]],"X","")</f>
        <v>X</v>
      </c>
      <c r="T112" s="1" t="s">
        <v>25</v>
      </c>
    </row>
    <row r="113" spans="1:20" x14ac:dyDescent="0.2">
      <c r="A113" s="1" t="s">
        <v>774</v>
      </c>
      <c r="B113" s="1" t="s">
        <v>775</v>
      </c>
      <c r="C113" s="1" t="s">
        <v>776</v>
      </c>
      <c r="D113" s="1" t="s">
        <v>777</v>
      </c>
      <c r="E113" s="1" t="s">
        <v>778</v>
      </c>
      <c r="F113" s="1" t="s">
        <v>779</v>
      </c>
      <c r="G113" s="1" t="s">
        <v>780</v>
      </c>
      <c r="H113">
        <v>16226780130</v>
      </c>
      <c r="I113" s="1" t="s">
        <v>450</v>
      </c>
      <c r="J113" s="1" t="s">
        <v>27</v>
      </c>
      <c r="K113" s="1" t="s">
        <v>28</v>
      </c>
      <c r="L113" s="1" t="s">
        <v>25</v>
      </c>
      <c r="M113" s="1" t="str">
        <f>IF(LEFT(results_context_via_permalink_gpt_5_2025_08_07_with_justification_run1__2[[#This Row],[LLM_response]],21)="CONTEXT_ACCESSED: yes","X","")</f>
        <v/>
      </c>
      <c r="N113" s="1" t="s">
        <v>25</v>
      </c>
      <c r="O113" s="1" t="s">
        <v>25</v>
      </c>
      <c r="P113" s="1" t="s">
        <v>25</v>
      </c>
      <c r="Q113" s="1" t="s">
        <v>1319</v>
      </c>
      <c r="R113" s="1" t="s">
        <v>28</v>
      </c>
      <c r="S113" s="1" t="str">
        <f>IF(results_context_via_permalink_gpt_5_2025_08_07_with_justification_run1__2[[#This Row],[they_type]]=results_context_via_permalink_gpt_5_2025_08_07_with_justification_run1__2[[#This Row],[LLM_annotation]],"X","")</f>
        <v>X</v>
      </c>
      <c r="T113" s="1" t="s">
        <v>25</v>
      </c>
    </row>
    <row r="114" spans="1:20" x14ac:dyDescent="0.2">
      <c r="A114" s="1" t="s">
        <v>782</v>
      </c>
      <c r="B114" s="1" t="s">
        <v>783</v>
      </c>
      <c r="C114" s="1" t="s">
        <v>784</v>
      </c>
      <c r="D114" s="1" t="s">
        <v>785</v>
      </c>
      <c r="E114" s="1" t="s">
        <v>786</v>
      </c>
      <c r="F114" s="1" t="s">
        <v>787</v>
      </c>
      <c r="G114" s="1" t="s">
        <v>25</v>
      </c>
      <c r="H114">
        <v>16226802050</v>
      </c>
      <c r="I114" s="1" t="s">
        <v>368</v>
      </c>
      <c r="J114" s="1" t="s">
        <v>27</v>
      </c>
      <c r="K114" s="1" t="s">
        <v>28</v>
      </c>
      <c r="L114" s="1" t="s">
        <v>27</v>
      </c>
      <c r="M114" s="1" t="str">
        <f>IF(LEFT(results_context_via_permalink_gpt_5_2025_08_07_with_justification_run1__2[[#This Row],[LLM_response]],21)="CONTEXT_ACCESSED: yes","X","")</f>
        <v>X</v>
      </c>
      <c r="N114" s="1" t="s">
        <v>25</v>
      </c>
      <c r="O114" s="1" t="s">
        <v>25</v>
      </c>
      <c r="P114" s="1" t="s">
        <v>25</v>
      </c>
      <c r="Q114" s="1" t="s">
        <v>1320</v>
      </c>
      <c r="R114" s="1" t="s">
        <v>28</v>
      </c>
      <c r="S114" s="1" t="str">
        <f>IF(results_context_via_permalink_gpt_5_2025_08_07_with_justification_run1__2[[#This Row],[they_type]]=results_context_via_permalink_gpt_5_2025_08_07_with_justification_run1__2[[#This Row],[LLM_annotation]],"X","")</f>
        <v>X</v>
      </c>
      <c r="T114" s="1" t="s">
        <v>25</v>
      </c>
    </row>
    <row r="115" spans="1:20" x14ac:dyDescent="0.2">
      <c r="A115" s="1" t="s">
        <v>789</v>
      </c>
      <c r="B115" s="1" t="s">
        <v>790</v>
      </c>
      <c r="C115" s="1" t="s">
        <v>791</v>
      </c>
      <c r="D115" s="1" t="s">
        <v>792</v>
      </c>
      <c r="E115" s="1" t="s">
        <v>793</v>
      </c>
      <c r="F115" s="1" t="s">
        <v>794</v>
      </c>
      <c r="G115" s="1" t="s">
        <v>25</v>
      </c>
      <c r="H115">
        <v>15699120980</v>
      </c>
      <c r="I115" s="1" t="s">
        <v>368</v>
      </c>
      <c r="J115" s="1" t="s">
        <v>27</v>
      </c>
      <c r="K115" s="1" t="s">
        <v>36</v>
      </c>
      <c r="L115" s="1" t="s">
        <v>25</v>
      </c>
      <c r="M115" s="1" t="str">
        <f>IF(LEFT(results_context_via_permalink_gpt_5_2025_08_07_with_justification_run1__2[[#This Row],[LLM_response]],21)="CONTEXT_ACCESSED: yes","X","")</f>
        <v/>
      </c>
      <c r="N115" s="1" t="s">
        <v>25</v>
      </c>
      <c r="O115" s="1" t="s">
        <v>25</v>
      </c>
      <c r="P115" s="1" t="s">
        <v>25</v>
      </c>
      <c r="Q115" s="1" t="s">
        <v>1321</v>
      </c>
      <c r="R115" s="1" t="s">
        <v>36</v>
      </c>
      <c r="S115" s="1" t="str">
        <f>IF(results_context_via_permalink_gpt_5_2025_08_07_with_justification_run1__2[[#This Row],[they_type]]=results_context_via_permalink_gpt_5_2025_08_07_with_justification_run1__2[[#This Row],[LLM_annotation]],"X","")</f>
        <v>X</v>
      </c>
      <c r="T115" s="1" t="s">
        <v>25</v>
      </c>
    </row>
    <row r="116" spans="1:20" x14ac:dyDescent="0.2">
      <c r="A116" s="1" t="s">
        <v>796</v>
      </c>
      <c r="B116" s="1" t="s">
        <v>797</v>
      </c>
      <c r="C116" s="1" t="s">
        <v>798</v>
      </c>
      <c r="D116" s="1" t="s">
        <v>799</v>
      </c>
      <c r="E116" s="1" t="s">
        <v>800</v>
      </c>
      <c r="F116" s="1" t="s">
        <v>801</v>
      </c>
      <c r="G116" s="1" t="s">
        <v>25</v>
      </c>
      <c r="H116">
        <v>16226848040</v>
      </c>
      <c r="I116" s="1" t="s">
        <v>123</v>
      </c>
      <c r="J116" s="1" t="s">
        <v>27</v>
      </c>
      <c r="K116" s="1" t="s">
        <v>36</v>
      </c>
      <c r="L116" s="1" t="s">
        <v>25</v>
      </c>
      <c r="M116" s="1" t="str">
        <f>IF(LEFT(results_context_via_permalink_gpt_5_2025_08_07_with_justification_run1__2[[#This Row],[LLM_response]],21)="CONTEXT_ACCESSED: yes","X","")</f>
        <v/>
      </c>
      <c r="N116" s="1" t="s">
        <v>25</v>
      </c>
      <c r="O116" s="1" t="s">
        <v>25</v>
      </c>
      <c r="P116" s="1" t="s">
        <v>25</v>
      </c>
      <c r="Q116" s="1" t="s">
        <v>1322</v>
      </c>
      <c r="R116" s="1" t="s">
        <v>36</v>
      </c>
      <c r="S116" s="1" t="str">
        <f>IF(results_context_via_permalink_gpt_5_2025_08_07_with_justification_run1__2[[#This Row],[they_type]]=results_context_via_permalink_gpt_5_2025_08_07_with_justification_run1__2[[#This Row],[LLM_annotation]],"X","")</f>
        <v>X</v>
      </c>
      <c r="T116" s="1" t="s">
        <v>25</v>
      </c>
    </row>
    <row r="117" spans="1:20" x14ac:dyDescent="0.2">
      <c r="A117" s="1" t="s">
        <v>803</v>
      </c>
      <c r="B117" s="1" t="s">
        <v>262</v>
      </c>
      <c r="C117" s="1" t="s">
        <v>804</v>
      </c>
      <c r="D117" s="1" t="s">
        <v>805</v>
      </c>
      <c r="E117" s="1" t="s">
        <v>806</v>
      </c>
      <c r="F117" s="1" t="s">
        <v>807</v>
      </c>
      <c r="G117" s="1" t="s">
        <v>25</v>
      </c>
      <c r="H117">
        <v>16226870200</v>
      </c>
      <c r="I117" s="1" t="s">
        <v>471</v>
      </c>
      <c r="J117" s="1" t="s">
        <v>27</v>
      </c>
      <c r="K117" s="1" t="s">
        <v>131</v>
      </c>
      <c r="L117" s="1" t="s">
        <v>25</v>
      </c>
      <c r="M117" s="1" t="str">
        <f>IF(LEFT(results_context_via_permalink_gpt_5_2025_08_07_with_justification_run1__2[[#This Row],[LLM_response]],21)="CONTEXT_ACCESSED: yes","X","")</f>
        <v>X</v>
      </c>
      <c r="N117" s="1" t="s">
        <v>25</v>
      </c>
      <c r="O117" s="1" t="s">
        <v>25</v>
      </c>
      <c r="P117" s="1" t="s">
        <v>25</v>
      </c>
      <c r="Q117" s="1" t="s">
        <v>1323</v>
      </c>
      <c r="R117" s="1" t="s">
        <v>131</v>
      </c>
      <c r="S117" s="1" t="str">
        <f>IF(results_context_via_permalink_gpt_5_2025_08_07_with_justification_run1__2[[#This Row],[they_type]]=results_context_via_permalink_gpt_5_2025_08_07_with_justification_run1__2[[#This Row],[LLM_annotation]],"X","")</f>
        <v>X</v>
      </c>
      <c r="T117" s="1" t="s">
        <v>25</v>
      </c>
    </row>
    <row r="118" spans="1:20" x14ac:dyDescent="0.2">
      <c r="A118" s="1" t="s">
        <v>809</v>
      </c>
      <c r="B118" s="1" t="s">
        <v>618</v>
      </c>
      <c r="C118" s="1" t="s">
        <v>810</v>
      </c>
      <c r="D118" s="1" t="s">
        <v>811</v>
      </c>
      <c r="E118" s="1" t="s">
        <v>812</v>
      </c>
      <c r="F118" s="1" t="s">
        <v>813</v>
      </c>
      <c r="G118" s="1" t="s">
        <v>25</v>
      </c>
      <c r="H118">
        <v>16226902150</v>
      </c>
      <c r="I118" s="1" t="s">
        <v>471</v>
      </c>
      <c r="J118" s="1" t="s">
        <v>27</v>
      </c>
      <c r="K118" s="1" t="s">
        <v>28</v>
      </c>
      <c r="L118" s="1" t="s">
        <v>27</v>
      </c>
      <c r="M118" s="1" t="str">
        <f>IF(LEFT(results_context_via_permalink_gpt_5_2025_08_07_with_justification_run1__2[[#This Row],[LLM_response]],21)="CONTEXT_ACCESSED: yes","X","")</f>
        <v>X</v>
      </c>
      <c r="N118" s="1" t="s">
        <v>25</v>
      </c>
      <c r="O118" s="1" t="s">
        <v>25</v>
      </c>
      <c r="P118" s="1" t="s">
        <v>25</v>
      </c>
      <c r="Q118" s="1" t="s">
        <v>1324</v>
      </c>
      <c r="R118" s="1" t="s">
        <v>36</v>
      </c>
      <c r="S118" s="1" t="str">
        <f>IF(results_context_via_permalink_gpt_5_2025_08_07_with_justification_run1__2[[#This Row],[they_type]]=results_context_via_permalink_gpt_5_2025_08_07_with_justification_run1__2[[#This Row],[LLM_annotation]],"X","")</f>
        <v/>
      </c>
      <c r="T118" s="1" t="s">
        <v>25</v>
      </c>
    </row>
    <row r="119" spans="1:20" x14ac:dyDescent="0.2">
      <c r="A119" s="1" t="s">
        <v>815</v>
      </c>
      <c r="B119" s="1" t="s">
        <v>62</v>
      </c>
      <c r="C119" s="1" t="s">
        <v>816</v>
      </c>
      <c r="D119" s="1" t="s">
        <v>817</v>
      </c>
      <c r="E119" s="1" t="s">
        <v>818</v>
      </c>
      <c r="F119" s="1" t="s">
        <v>819</v>
      </c>
      <c r="G119" s="1" t="s">
        <v>25</v>
      </c>
      <c r="H119">
        <v>16226919510</v>
      </c>
      <c r="I119" s="1" t="s">
        <v>368</v>
      </c>
      <c r="J119" s="1" t="s">
        <v>27</v>
      </c>
      <c r="K119" s="1" t="s">
        <v>28</v>
      </c>
      <c r="L119" s="1" t="s">
        <v>27</v>
      </c>
      <c r="M119" s="1" t="str">
        <f>IF(LEFT(results_context_via_permalink_gpt_5_2025_08_07_with_justification_run1__2[[#This Row],[LLM_response]],21)="CONTEXT_ACCESSED: yes","X","")</f>
        <v/>
      </c>
      <c r="N119" s="1" t="s">
        <v>25</v>
      </c>
      <c r="O119" s="1" t="s">
        <v>25</v>
      </c>
      <c r="P119" s="1" t="s">
        <v>25</v>
      </c>
      <c r="Q119" s="1" t="s">
        <v>1325</v>
      </c>
      <c r="R119" s="1" t="s">
        <v>28</v>
      </c>
      <c r="S119" s="1" t="str">
        <f>IF(results_context_via_permalink_gpt_5_2025_08_07_with_justification_run1__2[[#This Row],[they_type]]=results_context_via_permalink_gpt_5_2025_08_07_with_justification_run1__2[[#This Row],[LLM_annotation]],"X","")</f>
        <v>X</v>
      </c>
      <c r="T119" s="1" t="s">
        <v>25</v>
      </c>
    </row>
    <row r="120" spans="1:20" x14ac:dyDescent="0.2">
      <c r="A120" s="1" t="s">
        <v>821</v>
      </c>
      <c r="B120" s="1" t="s">
        <v>822</v>
      </c>
      <c r="C120" s="1" t="s">
        <v>823</v>
      </c>
      <c r="D120" s="1" t="s">
        <v>824</v>
      </c>
      <c r="E120" s="1" t="s">
        <v>825</v>
      </c>
      <c r="F120" s="1" t="s">
        <v>826</v>
      </c>
      <c r="G120" s="1" t="s">
        <v>25</v>
      </c>
      <c r="H120">
        <v>16225074990</v>
      </c>
      <c r="I120" s="1" t="s">
        <v>404</v>
      </c>
      <c r="J120" s="1" t="s">
        <v>27</v>
      </c>
      <c r="K120" s="1" t="s">
        <v>36</v>
      </c>
      <c r="L120" s="1" t="s">
        <v>25</v>
      </c>
      <c r="M120" s="1" t="str">
        <f>IF(LEFT(results_context_via_permalink_gpt_5_2025_08_07_with_justification_run1__2[[#This Row],[LLM_response]],21)="CONTEXT_ACCESSED: yes","X","")</f>
        <v/>
      </c>
      <c r="N120" s="1" t="s">
        <v>25</v>
      </c>
      <c r="O120" s="1" t="s">
        <v>25</v>
      </c>
      <c r="P120" s="1" t="s">
        <v>25</v>
      </c>
      <c r="Q120" s="1" t="s">
        <v>1326</v>
      </c>
      <c r="R120" s="1" t="s">
        <v>28</v>
      </c>
      <c r="S120" s="1" t="str">
        <f>IF(results_context_via_permalink_gpt_5_2025_08_07_with_justification_run1__2[[#This Row],[they_type]]=results_context_via_permalink_gpt_5_2025_08_07_with_justification_run1__2[[#This Row],[LLM_annotation]],"X","")</f>
        <v/>
      </c>
      <c r="T120" s="1" t="s">
        <v>25</v>
      </c>
    </row>
    <row r="121" spans="1:20" x14ac:dyDescent="0.2">
      <c r="A121" s="1" t="s">
        <v>828</v>
      </c>
      <c r="B121" s="1" t="s">
        <v>829</v>
      </c>
      <c r="C121" s="1" t="s">
        <v>830</v>
      </c>
      <c r="D121" s="1" t="s">
        <v>831</v>
      </c>
      <c r="E121" s="1" t="s">
        <v>832</v>
      </c>
      <c r="F121" s="1" t="s">
        <v>34</v>
      </c>
      <c r="G121" s="1" t="s">
        <v>25</v>
      </c>
      <c r="H121">
        <v>16227182460</v>
      </c>
      <c r="I121" s="1" t="s">
        <v>404</v>
      </c>
      <c r="J121" s="1" t="s">
        <v>27</v>
      </c>
      <c r="K121" s="1" t="s">
        <v>28</v>
      </c>
      <c r="L121" s="1" t="s">
        <v>25</v>
      </c>
      <c r="M121" s="1" t="str">
        <f>IF(LEFT(results_context_via_permalink_gpt_5_2025_08_07_with_justification_run1__2[[#This Row],[LLM_response]],21)="CONTEXT_ACCESSED: yes","X","")</f>
        <v/>
      </c>
      <c r="N121" s="1" t="s">
        <v>25</v>
      </c>
      <c r="O121" s="1" t="s">
        <v>25</v>
      </c>
      <c r="P121" s="1" t="s">
        <v>25</v>
      </c>
      <c r="Q121" s="1" t="s">
        <v>1327</v>
      </c>
      <c r="R121" s="1" t="s">
        <v>28</v>
      </c>
      <c r="S121" s="1" t="str">
        <f>IF(results_context_via_permalink_gpt_5_2025_08_07_with_justification_run1__2[[#This Row],[they_type]]=results_context_via_permalink_gpt_5_2025_08_07_with_justification_run1__2[[#This Row],[LLM_annotation]],"X","")</f>
        <v>X</v>
      </c>
      <c r="T121" s="1" t="s">
        <v>25</v>
      </c>
    </row>
    <row r="122" spans="1:20" x14ac:dyDescent="0.2">
      <c r="A122" s="1" t="s">
        <v>834</v>
      </c>
      <c r="B122" s="1" t="s">
        <v>835</v>
      </c>
      <c r="C122" s="1" t="s">
        <v>836</v>
      </c>
      <c r="D122" s="1" t="s">
        <v>837</v>
      </c>
      <c r="E122" s="1" t="s">
        <v>750</v>
      </c>
      <c r="F122" s="1" t="s">
        <v>838</v>
      </c>
      <c r="G122" s="1" t="s">
        <v>25</v>
      </c>
      <c r="H122">
        <v>16227212030</v>
      </c>
      <c r="I122" s="1" t="s">
        <v>368</v>
      </c>
      <c r="J122" s="1" t="s">
        <v>27</v>
      </c>
      <c r="K122" s="1" t="s">
        <v>131</v>
      </c>
      <c r="L122" s="1" t="s">
        <v>25</v>
      </c>
      <c r="M122" s="1" t="str">
        <f>IF(LEFT(results_context_via_permalink_gpt_5_2025_08_07_with_justification_run1__2[[#This Row],[LLM_response]],21)="CONTEXT_ACCESSED: yes","X","")</f>
        <v/>
      </c>
      <c r="N122" s="1" t="s">
        <v>25</v>
      </c>
      <c r="O122" s="1" t="s">
        <v>25</v>
      </c>
      <c r="P122" s="1" t="s">
        <v>25</v>
      </c>
      <c r="Q122" s="1" t="s">
        <v>1328</v>
      </c>
      <c r="R122" s="1" t="s">
        <v>131</v>
      </c>
      <c r="S122" s="1" t="str">
        <f>IF(results_context_via_permalink_gpt_5_2025_08_07_with_justification_run1__2[[#This Row],[they_type]]=results_context_via_permalink_gpt_5_2025_08_07_with_justification_run1__2[[#This Row],[LLM_annotation]],"X","")</f>
        <v>X</v>
      </c>
      <c r="T122" s="1" t="s">
        <v>25</v>
      </c>
    </row>
    <row r="123" spans="1:20" x14ac:dyDescent="0.2">
      <c r="A123" s="1" t="s">
        <v>840</v>
      </c>
      <c r="B123" s="1" t="s">
        <v>421</v>
      </c>
      <c r="C123" s="1" t="s">
        <v>841</v>
      </c>
      <c r="D123" s="1" t="s">
        <v>842</v>
      </c>
      <c r="E123" s="1" t="s">
        <v>843</v>
      </c>
      <c r="F123" s="1" t="s">
        <v>844</v>
      </c>
      <c r="G123" s="1" t="s">
        <v>25</v>
      </c>
      <c r="H123">
        <v>16227320740</v>
      </c>
      <c r="I123" s="1" t="s">
        <v>471</v>
      </c>
      <c r="J123" s="1" t="s">
        <v>27</v>
      </c>
      <c r="K123" s="1" t="s">
        <v>28</v>
      </c>
      <c r="L123" s="1" t="s">
        <v>27</v>
      </c>
      <c r="M123" s="1" t="str">
        <f>IF(LEFT(results_context_via_permalink_gpt_5_2025_08_07_with_justification_run1__2[[#This Row],[LLM_response]],21)="CONTEXT_ACCESSED: yes","X","")</f>
        <v>X</v>
      </c>
      <c r="N123" s="1" t="s">
        <v>25</v>
      </c>
      <c r="O123" s="1" t="s">
        <v>25</v>
      </c>
      <c r="P123" s="1" t="s">
        <v>25</v>
      </c>
      <c r="Q123" s="1" t="s">
        <v>1329</v>
      </c>
      <c r="R123" s="1" t="s">
        <v>28</v>
      </c>
      <c r="S123" s="1" t="str">
        <f>IF(results_context_via_permalink_gpt_5_2025_08_07_with_justification_run1__2[[#This Row],[they_type]]=results_context_via_permalink_gpt_5_2025_08_07_with_justification_run1__2[[#This Row],[LLM_annotation]],"X","")</f>
        <v>X</v>
      </c>
      <c r="T123" s="1" t="s">
        <v>25</v>
      </c>
    </row>
    <row r="124" spans="1:20" x14ac:dyDescent="0.2">
      <c r="A124" s="1" t="s">
        <v>846</v>
      </c>
      <c r="B124" s="1" t="s">
        <v>847</v>
      </c>
      <c r="C124" s="1" t="s">
        <v>848</v>
      </c>
      <c r="D124" s="1" t="s">
        <v>849</v>
      </c>
      <c r="E124" s="1" t="s">
        <v>850</v>
      </c>
      <c r="F124" s="1" t="s">
        <v>851</v>
      </c>
      <c r="G124" s="1" t="s">
        <v>852</v>
      </c>
      <c r="H124">
        <v>16227338550</v>
      </c>
      <c r="I124" s="1" t="s">
        <v>368</v>
      </c>
      <c r="J124" s="1" t="s">
        <v>27</v>
      </c>
      <c r="K124" s="1" t="s">
        <v>131</v>
      </c>
      <c r="L124" s="1" t="s">
        <v>25</v>
      </c>
      <c r="M124" s="1" t="str">
        <f>IF(LEFT(results_context_via_permalink_gpt_5_2025_08_07_with_justification_run1__2[[#This Row],[LLM_response]],21)="CONTEXT_ACCESSED: yes","X","")</f>
        <v>X</v>
      </c>
      <c r="N124" s="1" t="s">
        <v>25</v>
      </c>
      <c r="O124" s="1" t="s">
        <v>25</v>
      </c>
      <c r="P124" s="1" t="s">
        <v>25</v>
      </c>
      <c r="Q124" s="1" t="s">
        <v>1330</v>
      </c>
      <c r="R124" s="1" t="s">
        <v>131</v>
      </c>
      <c r="S124" s="1" t="str">
        <f>IF(results_context_via_permalink_gpt_5_2025_08_07_with_justification_run1__2[[#This Row],[they_type]]=results_context_via_permalink_gpt_5_2025_08_07_with_justification_run1__2[[#This Row],[LLM_annotation]],"X","")</f>
        <v>X</v>
      </c>
      <c r="T124" s="1" t="s">
        <v>25</v>
      </c>
    </row>
    <row r="125" spans="1:20" x14ac:dyDescent="0.2">
      <c r="A125" s="1" t="s">
        <v>854</v>
      </c>
      <c r="B125" s="1" t="s">
        <v>855</v>
      </c>
      <c r="C125" s="1" t="s">
        <v>856</v>
      </c>
      <c r="D125" s="1" t="s">
        <v>857</v>
      </c>
      <c r="E125" s="1" t="s">
        <v>417</v>
      </c>
      <c r="F125" s="1" t="s">
        <v>34</v>
      </c>
      <c r="G125" s="1" t="s">
        <v>25</v>
      </c>
      <c r="H125">
        <v>16227412250</v>
      </c>
      <c r="I125" s="1" t="s">
        <v>404</v>
      </c>
      <c r="J125" s="1" t="s">
        <v>27</v>
      </c>
      <c r="K125" s="1" t="s">
        <v>131</v>
      </c>
      <c r="L125" s="1" t="s">
        <v>25</v>
      </c>
      <c r="M125" s="1" t="str">
        <f>IF(LEFT(results_context_via_permalink_gpt_5_2025_08_07_with_justification_run1__2[[#This Row],[LLM_response]],21)="CONTEXT_ACCESSED: yes","X","")</f>
        <v/>
      </c>
      <c r="N125" s="1" t="s">
        <v>25</v>
      </c>
      <c r="O125" s="1" t="s">
        <v>25</v>
      </c>
      <c r="P125" s="1" t="s">
        <v>25</v>
      </c>
      <c r="Q125" s="1" t="s">
        <v>1331</v>
      </c>
      <c r="R125" s="1" t="s">
        <v>131</v>
      </c>
      <c r="S125" s="1" t="str">
        <f>IF(results_context_via_permalink_gpt_5_2025_08_07_with_justification_run1__2[[#This Row],[they_type]]=results_context_via_permalink_gpt_5_2025_08_07_with_justification_run1__2[[#This Row],[LLM_annotation]],"X","")</f>
        <v>X</v>
      </c>
      <c r="T125" s="1" t="s">
        <v>25</v>
      </c>
    </row>
    <row r="126" spans="1:20" x14ac:dyDescent="0.2">
      <c r="A126" s="1" t="s">
        <v>859</v>
      </c>
      <c r="B126" s="1" t="s">
        <v>517</v>
      </c>
      <c r="C126" s="1" t="s">
        <v>860</v>
      </c>
      <c r="D126" s="1" t="s">
        <v>861</v>
      </c>
      <c r="E126" s="1" t="s">
        <v>366</v>
      </c>
      <c r="F126" s="1" t="s">
        <v>862</v>
      </c>
      <c r="G126" s="1" t="s">
        <v>25</v>
      </c>
      <c r="H126">
        <v>16227455020</v>
      </c>
      <c r="I126" s="1" t="s">
        <v>391</v>
      </c>
      <c r="J126" s="1" t="s">
        <v>27</v>
      </c>
      <c r="K126" s="1" t="s">
        <v>28</v>
      </c>
      <c r="L126" s="1" t="s">
        <v>25</v>
      </c>
      <c r="M126" s="1" t="str">
        <f>IF(LEFT(results_context_via_permalink_gpt_5_2025_08_07_with_justification_run1__2[[#This Row],[LLM_response]],21)="CONTEXT_ACCESSED: yes","X","")</f>
        <v>X</v>
      </c>
      <c r="N126" s="1" t="s">
        <v>25</v>
      </c>
      <c r="O126" s="1" t="s">
        <v>25</v>
      </c>
      <c r="P126" s="1" t="s">
        <v>25</v>
      </c>
      <c r="Q126" s="1" t="s">
        <v>1332</v>
      </c>
      <c r="R126" s="1" t="s">
        <v>131</v>
      </c>
      <c r="S126" s="1" t="str">
        <f>IF(results_context_via_permalink_gpt_5_2025_08_07_with_justification_run1__2[[#This Row],[they_type]]=results_context_via_permalink_gpt_5_2025_08_07_with_justification_run1__2[[#This Row],[LLM_annotation]],"X","")</f>
        <v/>
      </c>
      <c r="T126" s="1" t="s">
        <v>25</v>
      </c>
    </row>
    <row r="127" spans="1:20" x14ac:dyDescent="0.2">
      <c r="A127" s="1" t="s">
        <v>864</v>
      </c>
      <c r="B127" s="1" t="s">
        <v>421</v>
      </c>
      <c r="C127" s="1" t="s">
        <v>865</v>
      </c>
      <c r="D127" s="1" t="s">
        <v>866</v>
      </c>
      <c r="E127" s="1" t="s">
        <v>867</v>
      </c>
      <c r="F127" s="1" t="s">
        <v>868</v>
      </c>
      <c r="G127" s="1" t="s">
        <v>25</v>
      </c>
      <c r="H127">
        <v>16227464650</v>
      </c>
      <c r="I127" s="1" t="s">
        <v>869</v>
      </c>
      <c r="J127" s="1" t="s">
        <v>27</v>
      </c>
      <c r="K127" s="1" t="s">
        <v>28</v>
      </c>
      <c r="L127" s="1" t="s">
        <v>27</v>
      </c>
      <c r="M127" s="1" t="str">
        <f>IF(LEFT(results_context_via_permalink_gpt_5_2025_08_07_with_justification_run1__2[[#This Row],[LLM_response]],21)="CONTEXT_ACCESSED: yes","X","")</f>
        <v>X</v>
      </c>
      <c r="N127" s="1" t="s">
        <v>25</v>
      </c>
      <c r="O127" s="1" t="s">
        <v>25</v>
      </c>
      <c r="P127" s="1" t="s">
        <v>27</v>
      </c>
      <c r="Q127" s="1" t="s">
        <v>1333</v>
      </c>
      <c r="R127" s="1" t="s">
        <v>28</v>
      </c>
      <c r="S127" s="1" t="str">
        <f>IF(results_context_via_permalink_gpt_5_2025_08_07_with_justification_run1__2[[#This Row],[they_type]]=results_context_via_permalink_gpt_5_2025_08_07_with_justification_run1__2[[#This Row],[LLM_annotation]],"X","")</f>
        <v>X</v>
      </c>
      <c r="T127" s="1" t="s">
        <v>25</v>
      </c>
    </row>
    <row r="128" spans="1:20" x14ac:dyDescent="0.2">
      <c r="A128" s="1" t="s">
        <v>871</v>
      </c>
      <c r="B128" s="1" t="s">
        <v>872</v>
      </c>
      <c r="C128" s="1" t="s">
        <v>873</v>
      </c>
      <c r="D128" s="1" t="s">
        <v>874</v>
      </c>
      <c r="E128" s="1" t="s">
        <v>875</v>
      </c>
      <c r="F128" s="1" t="s">
        <v>876</v>
      </c>
      <c r="G128" s="1" t="s">
        <v>877</v>
      </c>
      <c r="H128">
        <v>16227540360</v>
      </c>
      <c r="I128" s="1" t="s">
        <v>368</v>
      </c>
      <c r="J128" s="1" t="s">
        <v>27</v>
      </c>
      <c r="K128" s="1" t="s">
        <v>131</v>
      </c>
      <c r="L128" s="1" t="s">
        <v>25</v>
      </c>
      <c r="M128" s="1" t="str">
        <f>IF(LEFT(results_context_via_permalink_gpt_5_2025_08_07_with_justification_run1__2[[#This Row],[LLM_response]],21)="CONTEXT_ACCESSED: yes","X","")</f>
        <v>X</v>
      </c>
      <c r="N128" s="1" t="s">
        <v>25</v>
      </c>
      <c r="O128" s="1" t="s">
        <v>25</v>
      </c>
      <c r="P128" s="1" t="s">
        <v>25</v>
      </c>
      <c r="Q128" s="1" t="s">
        <v>1334</v>
      </c>
      <c r="R128" s="1" t="s">
        <v>131</v>
      </c>
      <c r="S128" s="1" t="str">
        <f>IF(results_context_via_permalink_gpt_5_2025_08_07_with_justification_run1__2[[#This Row],[they_type]]=results_context_via_permalink_gpt_5_2025_08_07_with_justification_run1__2[[#This Row],[LLM_annotation]],"X","")</f>
        <v>X</v>
      </c>
      <c r="T128" s="1" t="s">
        <v>25</v>
      </c>
    </row>
    <row r="129" spans="1:20" x14ac:dyDescent="0.2">
      <c r="A129" s="1" t="s">
        <v>879</v>
      </c>
      <c r="B129" s="1" t="s">
        <v>880</v>
      </c>
      <c r="C129" s="1" t="s">
        <v>881</v>
      </c>
      <c r="D129" s="1" t="s">
        <v>882</v>
      </c>
      <c r="E129" s="1" t="s">
        <v>366</v>
      </c>
      <c r="F129" s="1" t="s">
        <v>883</v>
      </c>
      <c r="G129" s="1" t="s">
        <v>25</v>
      </c>
      <c r="H129">
        <v>16227595790</v>
      </c>
      <c r="I129" s="1" t="s">
        <v>450</v>
      </c>
      <c r="J129" s="1" t="s">
        <v>27</v>
      </c>
      <c r="K129" s="1" t="s">
        <v>28</v>
      </c>
      <c r="L129" s="1" t="s">
        <v>25</v>
      </c>
      <c r="M129" s="1" t="str">
        <f>IF(LEFT(results_context_via_permalink_gpt_5_2025_08_07_with_justification_run1__2[[#This Row],[LLM_response]],21)="CONTEXT_ACCESSED: yes","X","")</f>
        <v>X</v>
      </c>
      <c r="N129" s="1" t="s">
        <v>25</v>
      </c>
      <c r="O129" s="1" t="s">
        <v>25</v>
      </c>
      <c r="P129" s="1" t="s">
        <v>25</v>
      </c>
      <c r="Q129" s="1" t="s">
        <v>1335</v>
      </c>
      <c r="R129" s="1" t="s">
        <v>28</v>
      </c>
      <c r="S129" s="1" t="str">
        <f>IF(results_context_via_permalink_gpt_5_2025_08_07_with_justification_run1__2[[#This Row],[they_type]]=results_context_via_permalink_gpt_5_2025_08_07_with_justification_run1__2[[#This Row],[LLM_annotation]],"X","")</f>
        <v>X</v>
      </c>
      <c r="T129" s="1" t="s">
        <v>25</v>
      </c>
    </row>
    <row r="130" spans="1:20" x14ac:dyDescent="0.2">
      <c r="A130" s="1" t="s">
        <v>885</v>
      </c>
      <c r="B130" s="1" t="s">
        <v>886</v>
      </c>
      <c r="C130" s="1" t="s">
        <v>887</v>
      </c>
      <c r="D130" s="1" t="s">
        <v>888</v>
      </c>
      <c r="E130" s="1" t="s">
        <v>889</v>
      </c>
      <c r="F130" s="1" t="s">
        <v>890</v>
      </c>
      <c r="G130" s="1" t="s">
        <v>25</v>
      </c>
      <c r="H130">
        <v>16227598790</v>
      </c>
      <c r="I130" s="1" t="s">
        <v>450</v>
      </c>
      <c r="J130" s="1" t="s">
        <v>27</v>
      </c>
      <c r="K130" s="1" t="s">
        <v>28</v>
      </c>
      <c r="L130" s="1" t="s">
        <v>27</v>
      </c>
      <c r="M130" s="1" t="str">
        <f>IF(LEFT(results_context_via_permalink_gpt_5_2025_08_07_with_justification_run1__2[[#This Row],[LLM_response]],21)="CONTEXT_ACCESSED: yes","X","")</f>
        <v>X</v>
      </c>
      <c r="N130" s="1" t="s">
        <v>25</v>
      </c>
      <c r="O130" s="1" t="s">
        <v>25</v>
      </c>
      <c r="P130" s="1" t="s">
        <v>27</v>
      </c>
      <c r="Q130" s="1" t="s">
        <v>1336</v>
      </c>
      <c r="R130" s="1" t="s">
        <v>28</v>
      </c>
      <c r="S130" s="1" t="str">
        <f>IF(results_context_via_permalink_gpt_5_2025_08_07_with_justification_run1__2[[#This Row],[they_type]]=results_context_via_permalink_gpt_5_2025_08_07_with_justification_run1__2[[#This Row],[LLM_annotation]],"X","")</f>
        <v>X</v>
      </c>
      <c r="T130" s="1" t="s">
        <v>25</v>
      </c>
    </row>
    <row r="131" spans="1:20" x14ac:dyDescent="0.2">
      <c r="A131" s="1" t="s">
        <v>892</v>
      </c>
      <c r="B131" s="1" t="s">
        <v>893</v>
      </c>
      <c r="C131" s="1" t="s">
        <v>894</v>
      </c>
      <c r="D131" s="1" t="s">
        <v>895</v>
      </c>
      <c r="E131" s="1" t="s">
        <v>410</v>
      </c>
      <c r="F131" s="1" t="s">
        <v>896</v>
      </c>
      <c r="G131" s="1" t="s">
        <v>25</v>
      </c>
      <c r="H131">
        <v>16227603890</v>
      </c>
      <c r="I131" s="1" t="s">
        <v>368</v>
      </c>
      <c r="J131" s="1" t="s">
        <v>27</v>
      </c>
      <c r="K131" s="1" t="s">
        <v>36</v>
      </c>
      <c r="L131" s="1" t="s">
        <v>25</v>
      </c>
      <c r="M131" s="1" t="str">
        <f>IF(LEFT(results_context_via_permalink_gpt_5_2025_08_07_with_justification_run1__2[[#This Row],[LLM_response]],21)="CONTEXT_ACCESSED: yes","X","")</f>
        <v>X</v>
      </c>
      <c r="N131" s="1" t="s">
        <v>25</v>
      </c>
      <c r="O131" s="1" t="s">
        <v>25</v>
      </c>
      <c r="P131" s="1" t="s">
        <v>25</v>
      </c>
      <c r="Q131" s="1" t="s">
        <v>1337</v>
      </c>
      <c r="R131" s="1" t="s">
        <v>36</v>
      </c>
      <c r="S131" s="1" t="str">
        <f>IF(results_context_via_permalink_gpt_5_2025_08_07_with_justification_run1__2[[#This Row],[they_type]]=results_context_via_permalink_gpt_5_2025_08_07_with_justification_run1__2[[#This Row],[LLM_annotation]],"X","")</f>
        <v>X</v>
      </c>
      <c r="T131" s="1" t="s">
        <v>25</v>
      </c>
    </row>
    <row r="132" spans="1:20" x14ac:dyDescent="0.2">
      <c r="A132" s="1" t="s">
        <v>898</v>
      </c>
      <c r="B132" s="1" t="s">
        <v>899</v>
      </c>
      <c r="C132" s="1" t="s">
        <v>900</v>
      </c>
      <c r="D132" s="1" t="s">
        <v>901</v>
      </c>
      <c r="E132" s="1" t="s">
        <v>902</v>
      </c>
      <c r="F132" s="1" t="s">
        <v>903</v>
      </c>
      <c r="G132" s="1" t="s">
        <v>25</v>
      </c>
      <c r="H132">
        <v>16227638230</v>
      </c>
      <c r="I132" s="1" t="s">
        <v>368</v>
      </c>
      <c r="J132" s="1" t="s">
        <v>27</v>
      </c>
      <c r="K132" s="1" t="s">
        <v>28</v>
      </c>
      <c r="L132" s="1" t="s">
        <v>25</v>
      </c>
      <c r="M132" s="1" t="str">
        <f>IF(LEFT(results_context_via_permalink_gpt_5_2025_08_07_with_justification_run1__2[[#This Row],[LLM_response]],21)="CONTEXT_ACCESSED: yes","X","")</f>
        <v>X</v>
      </c>
      <c r="N132" s="1" t="s">
        <v>25</v>
      </c>
      <c r="O132" s="1" t="s">
        <v>25</v>
      </c>
      <c r="P132" s="1" t="s">
        <v>25</v>
      </c>
      <c r="Q132" s="1" t="s">
        <v>1338</v>
      </c>
      <c r="R132" s="1" t="s">
        <v>131</v>
      </c>
      <c r="S132" s="1" t="str">
        <f>IF(results_context_via_permalink_gpt_5_2025_08_07_with_justification_run1__2[[#This Row],[they_type]]=results_context_via_permalink_gpt_5_2025_08_07_with_justification_run1__2[[#This Row],[LLM_annotation]],"X","")</f>
        <v/>
      </c>
      <c r="T132" s="1" t="s">
        <v>25</v>
      </c>
    </row>
    <row r="133" spans="1:20" x14ac:dyDescent="0.2">
      <c r="A133" s="1" t="s">
        <v>905</v>
      </c>
      <c r="B133" s="1" t="s">
        <v>906</v>
      </c>
      <c r="C133" s="1" t="s">
        <v>907</v>
      </c>
      <c r="D133" s="1" t="s">
        <v>908</v>
      </c>
      <c r="E133" s="1" t="s">
        <v>909</v>
      </c>
      <c r="F133" s="1" t="s">
        <v>910</v>
      </c>
      <c r="G133" s="1" t="s">
        <v>25</v>
      </c>
      <c r="H133">
        <v>16227640170</v>
      </c>
      <c r="I133" s="1" t="s">
        <v>427</v>
      </c>
      <c r="J133" s="1" t="s">
        <v>27</v>
      </c>
      <c r="K133" s="1" t="s">
        <v>131</v>
      </c>
      <c r="L133" s="1" t="s">
        <v>25</v>
      </c>
      <c r="M133" s="1" t="str">
        <f>IF(LEFT(results_context_via_permalink_gpt_5_2025_08_07_with_justification_run1__2[[#This Row],[LLM_response]],21)="CONTEXT_ACCESSED: yes","X","")</f>
        <v>X</v>
      </c>
      <c r="N133" s="1" t="s">
        <v>25</v>
      </c>
      <c r="O133" s="1" t="s">
        <v>25</v>
      </c>
      <c r="P133" s="1" t="s">
        <v>25</v>
      </c>
      <c r="Q133" s="1" t="s">
        <v>1339</v>
      </c>
      <c r="R133" s="1" t="s">
        <v>131</v>
      </c>
      <c r="S133" s="1" t="str">
        <f>IF(results_context_via_permalink_gpt_5_2025_08_07_with_justification_run1__2[[#This Row],[they_type]]=results_context_via_permalink_gpt_5_2025_08_07_with_justification_run1__2[[#This Row],[LLM_annotation]],"X","")</f>
        <v>X</v>
      </c>
      <c r="T133" s="1" t="s">
        <v>25</v>
      </c>
    </row>
    <row r="134" spans="1:20" x14ac:dyDescent="0.2">
      <c r="A134" s="1" t="s">
        <v>912</v>
      </c>
      <c r="B134" s="1" t="s">
        <v>913</v>
      </c>
      <c r="C134" s="1" t="s">
        <v>914</v>
      </c>
      <c r="D134" s="1" t="s">
        <v>915</v>
      </c>
      <c r="E134" s="1" t="s">
        <v>916</v>
      </c>
      <c r="F134" s="1" t="s">
        <v>917</v>
      </c>
      <c r="G134" s="1" t="s">
        <v>25</v>
      </c>
      <c r="H134">
        <v>16227650590</v>
      </c>
      <c r="I134" s="1" t="s">
        <v>368</v>
      </c>
      <c r="J134" s="1" t="s">
        <v>27</v>
      </c>
      <c r="K134" s="1" t="s">
        <v>36</v>
      </c>
      <c r="L134" s="1" t="s">
        <v>25</v>
      </c>
      <c r="M134" s="1" t="str">
        <f>IF(LEFT(results_context_via_permalink_gpt_5_2025_08_07_with_justification_run1__2[[#This Row],[LLM_response]],21)="CONTEXT_ACCESSED: yes","X","")</f>
        <v/>
      </c>
      <c r="N134" s="1" t="s">
        <v>25</v>
      </c>
      <c r="O134" s="1" t="s">
        <v>27</v>
      </c>
      <c r="P134" s="1" t="s">
        <v>25</v>
      </c>
      <c r="Q134" s="1" t="s">
        <v>1340</v>
      </c>
      <c r="R134" s="1" t="s">
        <v>36</v>
      </c>
      <c r="S134" s="1" t="str">
        <f>IF(results_context_via_permalink_gpt_5_2025_08_07_with_justification_run1__2[[#This Row],[they_type]]=results_context_via_permalink_gpt_5_2025_08_07_with_justification_run1__2[[#This Row],[LLM_annotation]],"X","")</f>
        <v>X</v>
      </c>
      <c r="T134" s="1" t="s">
        <v>25</v>
      </c>
    </row>
    <row r="135" spans="1:20" x14ac:dyDescent="0.2">
      <c r="A135" s="1" t="s">
        <v>919</v>
      </c>
      <c r="B135" s="1" t="s">
        <v>920</v>
      </c>
      <c r="C135" s="1" t="s">
        <v>921</v>
      </c>
      <c r="D135" s="1" t="s">
        <v>922</v>
      </c>
      <c r="E135" s="1" t="s">
        <v>923</v>
      </c>
      <c r="F135" s="1" t="s">
        <v>924</v>
      </c>
      <c r="G135" s="1" t="s">
        <v>25</v>
      </c>
      <c r="H135">
        <v>16227660580</v>
      </c>
      <c r="I135" s="1" t="s">
        <v>427</v>
      </c>
      <c r="J135" s="1" t="s">
        <v>27</v>
      </c>
      <c r="K135" s="1" t="s">
        <v>28</v>
      </c>
      <c r="L135" s="1" t="s">
        <v>25</v>
      </c>
      <c r="M135" s="1" t="str">
        <f>IF(LEFT(results_context_via_permalink_gpt_5_2025_08_07_with_justification_run1__2[[#This Row],[LLM_response]],21)="CONTEXT_ACCESSED: yes","X","")</f>
        <v>X</v>
      </c>
      <c r="N135" s="1" t="s">
        <v>25</v>
      </c>
      <c r="O135" s="1" t="s">
        <v>25</v>
      </c>
      <c r="P135" s="1" t="s">
        <v>25</v>
      </c>
      <c r="Q135" s="1" t="s">
        <v>1341</v>
      </c>
      <c r="R135" s="1" t="s">
        <v>28</v>
      </c>
      <c r="S135" s="1" t="str">
        <f>IF(results_context_via_permalink_gpt_5_2025_08_07_with_justification_run1__2[[#This Row],[they_type]]=results_context_via_permalink_gpt_5_2025_08_07_with_justification_run1__2[[#This Row],[LLM_annotation]],"X","")</f>
        <v>X</v>
      </c>
      <c r="T135" s="1" t="s">
        <v>25</v>
      </c>
    </row>
    <row r="136" spans="1:20" x14ac:dyDescent="0.2">
      <c r="A136" s="1" t="s">
        <v>926</v>
      </c>
      <c r="B136" s="1" t="s">
        <v>927</v>
      </c>
      <c r="C136" s="1" t="s">
        <v>928</v>
      </c>
      <c r="D136" s="1" t="s">
        <v>929</v>
      </c>
      <c r="E136" s="1" t="s">
        <v>930</v>
      </c>
      <c r="F136" s="1" t="s">
        <v>931</v>
      </c>
      <c r="G136" s="1" t="s">
        <v>25</v>
      </c>
      <c r="H136">
        <v>16227661650</v>
      </c>
      <c r="I136" s="1" t="s">
        <v>368</v>
      </c>
      <c r="J136" s="1" t="s">
        <v>27</v>
      </c>
      <c r="K136" s="1" t="s">
        <v>28</v>
      </c>
      <c r="L136" s="1" t="s">
        <v>25</v>
      </c>
      <c r="M136" s="1" t="str">
        <f>IF(LEFT(results_context_via_permalink_gpt_5_2025_08_07_with_justification_run1__2[[#This Row],[LLM_response]],21)="CONTEXT_ACCESSED: yes","X","")</f>
        <v>X</v>
      </c>
      <c r="N136" s="1" t="s">
        <v>25</v>
      </c>
      <c r="O136" s="1" t="s">
        <v>25</v>
      </c>
      <c r="P136" s="1" t="s">
        <v>25</v>
      </c>
      <c r="Q136" s="1" t="s">
        <v>1342</v>
      </c>
      <c r="R136" s="1" t="s">
        <v>131</v>
      </c>
      <c r="S136" s="1" t="str">
        <f>IF(results_context_via_permalink_gpt_5_2025_08_07_with_justification_run1__2[[#This Row],[they_type]]=results_context_via_permalink_gpt_5_2025_08_07_with_justification_run1__2[[#This Row],[LLM_annotation]],"X","")</f>
        <v/>
      </c>
      <c r="T136" s="1" t="s">
        <v>25</v>
      </c>
    </row>
    <row r="137" spans="1:20" x14ac:dyDescent="0.2">
      <c r="A137" s="1" t="s">
        <v>933</v>
      </c>
      <c r="B137" s="1" t="s">
        <v>934</v>
      </c>
      <c r="C137" s="1" t="s">
        <v>935</v>
      </c>
      <c r="D137" s="1" t="s">
        <v>936</v>
      </c>
      <c r="E137" s="1" t="s">
        <v>937</v>
      </c>
      <c r="F137" s="1" t="s">
        <v>938</v>
      </c>
      <c r="G137" s="1" t="s">
        <v>25</v>
      </c>
      <c r="H137">
        <v>16227718030</v>
      </c>
      <c r="I137" s="1" t="s">
        <v>450</v>
      </c>
      <c r="J137" s="1" t="s">
        <v>27</v>
      </c>
      <c r="K137" s="1" t="s">
        <v>131</v>
      </c>
      <c r="L137" s="1" t="s">
        <v>27</v>
      </c>
      <c r="M137" s="1" t="str">
        <f>IF(LEFT(results_context_via_permalink_gpt_5_2025_08_07_with_justification_run1__2[[#This Row],[LLM_response]],21)="CONTEXT_ACCESSED: yes","X","")</f>
        <v>X</v>
      </c>
      <c r="N137" s="1" t="s">
        <v>25</v>
      </c>
      <c r="O137" s="1" t="s">
        <v>25</v>
      </c>
      <c r="P137" s="1" t="s">
        <v>27</v>
      </c>
      <c r="Q137" s="1" t="s">
        <v>1343</v>
      </c>
      <c r="R137" s="1" t="s">
        <v>131</v>
      </c>
      <c r="S137" s="1" t="str">
        <f>IF(results_context_via_permalink_gpt_5_2025_08_07_with_justification_run1__2[[#This Row],[they_type]]=results_context_via_permalink_gpt_5_2025_08_07_with_justification_run1__2[[#This Row],[LLM_annotation]],"X","")</f>
        <v>X</v>
      </c>
      <c r="T137" s="1" t="s">
        <v>25</v>
      </c>
    </row>
    <row r="138" spans="1:20" x14ac:dyDescent="0.2">
      <c r="A138" s="1" t="s">
        <v>940</v>
      </c>
      <c r="B138" s="1" t="s">
        <v>941</v>
      </c>
      <c r="C138" s="1" t="s">
        <v>942</v>
      </c>
      <c r="D138" s="1" t="s">
        <v>943</v>
      </c>
      <c r="E138" s="1" t="s">
        <v>944</v>
      </c>
      <c r="F138" s="1" t="s">
        <v>945</v>
      </c>
      <c r="G138" s="1" t="s">
        <v>25</v>
      </c>
      <c r="H138">
        <v>16227752300</v>
      </c>
      <c r="I138" s="1" t="s">
        <v>368</v>
      </c>
      <c r="J138" s="1" t="s">
        <v>27</v>
      </c>
      <c r="K138" s="1" t="s">
        <v>131</v>
      </c>
      <c r="L138" s="1" t="s">
        <v>27</v>
      </c>
      <c r="M138" s="1" t="str">
        <f>IF(LEFT(results_context_via_permalink_gpt_5_2025_08_07_with_justification_run1__2[[#This Row],[LLM_response]],21)="CONTEXT_ACCESSED: yes","X","")</f>
        <v>X</v>
      </c>
      <c r="N138" s="1" t="s">
        <v>25</v>
      </c>
      <c r="O138" s="1" t="s">
        <v>25</v>
      </c>
      <c r="P138" s="1" t="s">
        <v>27</v>
      </c>
      <c r="Q138" s="1" t="s">
        <v>1344</v>
      </c>
      <c r="R138" s="1" t="s">
        <v>131</v>
      </c>
      <c r="S138" s="1" t="str">
        <f>IF(results_context_via_permalink_gpt_5_2025_08_07_with_justification_run1__2[[#This Row],[they_type]]=results_context_via_permalink_gpt_5_2025_08_07_with_justification_run1__2[[#This Row],[LLM_annotation]],"X","")</f>
        <v>X</v>
      </c>
      <c r="T138" s="1" t="s">
        <v>25</v>
      </c>
    </row>
    <row r="139" spans="1:20" x14ac:dyDescent="0.2">
      <c r="A139" s="1" t="s">
        <v>947</v>
      </c>
      <c r="B139" s="1" t="s">
        <v>948</v>
      </c>
      <c r="C139" s="1" t="s">
        <v>949</v>
      </c>
      <c r="D139" s="1" t="s">
        <v>950</v>
      </c>
      <c r="E139" s="1" t="s">
        <v>951</v>
      </c>
      <c r="F139" s="1" t="s">
        <v>952</v>
      </c>
      <c r="G139" s="1" t="s">
        <v>25</v>
      </c>
      <c r="H139">
        <v>16227850140</v>
      </c>
      <c r="I139" s="1" t="s">
        <v>368</v>
      </c>
      <c r="J139" s="1" t="s">
        <v>27</v>
      </c>
      <c r="K139" s="1" t="s">
        <v>36</v>
      </c>
      <c r="L139" s="1" t="s">
        <v>25</v>
      </c>
      <c r="M139" s="1" t="str">
        <f>IF(LEFT(results_context_via_permalink_gpt_5_2025_08_07_with_justification_run1__2[[#This Row],[LLM_response]],21)="CONTEXT_ACCESSED: yes","X","")</f>
        <v/>
      </c>
      <c r="N139" s="1" t="s">
        <v>25</v>
      </c>
      <c r="O139" s="1" t="s">
        <v>25</v>
      </c>
      <c r="P139" s="1" t="s">
        <v>25</v>
      </c>
      <c r="Q139" s="1" t="s">
        <v>1345</v>
      </c>
      <c r="R139" s="1" t="s">
        <v>36</v>
      </c>
      <c r="S139" s="1" t="str">
        <f>IF(results_context_via_permalink_gpt_5_2025_08_07_with_justification_run1__2[[#This Row],[they_type]]=results_context_via_permalink_gpt_5_2025_08_07_with_justification_run1__2[[#This Row],[LLM_annotation]],"X","")</f>
        <v>X</v>
      </c>
      <c r="T139" s="1" t="s">
        <v>25</v>
      </c>
    </row>
    <row r="140" spans="1:20" x14ac:dyDescent="0.2">
      <c r="A140" s="1" t="s">
        <v>954</v>
      </c>
      <c r="B140" s="1" t="s">
        <v>955</v>
      </c>
      <c r="C140" s="1" t="s">
        <v>956</v>
      </c>
      <c r="D140" s="1" t="s">
        <v>957</v>
      </c>
      <c r="E140" s="1" t="s">
        <v>958</v>
      </c>
      <c r="F140" s="1" t="s">
        <v>959</v>
      </c>
      <c r="G140" s="1" t="s">
        <v>25</v>
      </c>
      <c r="H140">
        <v>16227907560</v>
      </c>
      <c r="I140" s="1" t="s">
        <v>368</v>
      </c>
      <c r="J140" s="1" t="s">
        <v>27</v>
      </c>
      <c r="K140" s="1" t="s">
        <v>131</v>
      </c>
      <c r="L140" s="1" t="s">
        <v>27</v>
      </c>
      <c r="M140" s="1" t="str">
        <f>IF(LEFT(results_context_via_permalink_gpt_5_2025_08_07_with_justification_run1__2[[#This Row],[LLM_response]],21)="CONTEXT_ACCESSED: yes","X","")</f>
        <v>X</v>
      </c>
      <c r="N140" s="1" t="s">
        <v>25</v>
      </c>
      <c r="O140" s="1" t="s">
        <v>25</v>
      </c>
      <c r="P140" s="1" t="s">
        <v>27</v>
      </c>
      <c r="Q140" s="1" t="s">
        <v>1346</v>
      </c>
      <c r="R140" s="1" t="s">
        <v>131</v>
      </c>
      <c r="S140" s="1" t="str">
        <f>IF(results_context_via_permalink_gpt_5_2025_08_07_with_justification_run1__2[[#This Row],[they_type]]=results_context_via_permalink_gpt_5_2025_08_07_with_justification_run1__2[[#This Row],[LLM_annotation]],"X","")</f>
        <v>X</v>
      </c>
      <c r="T140" s="1" t="s">
        <v>25</v>
      </c>
    </row>
    <row r="141" spans="1:20" x14ac:dyDescent="0.2">
      <c r="A141" s="1" t="s">
        <v>961</v>
      </c>
      <c r="B141" s="1" t="s">
        <v>962</v>
      </c>
      <c r="C141" s="1" t="s">
        <v>963</v>
      </c>
      <c r="D141" s="1" t="s">
        <v>964</v>
      </c>
      <c r="E141" s="1" t="s">
        <v>965</v>
      </c>
      <c r="F141" s="1" t="s">
        <v>966</v>
      </c>
      <c r="G141" s="1" t="s">
        <v>25</v>
      </c>
      <c r="H141">
        <v>16227926780</v>
      </c>
      <c r="I141" s="1" t="s">
        <v>368</v>
      </c>
      <c r="J141" s="1" t="s">
        <v>27</v>
      </c>
      <c r="K141" s="1" t="s">
        <v>36</v>
      </c>
      <c r="L141" s="1" t="s">
        <v>27</v>
      </c>
      <c r="M141" s="1" t="str">
        <f>IF(LEFT(results_context_via_permalink_gpt_5_2025_08_07_with_justification_run1__2[[#This Row],[LLM_response]],21)="CONTEXT_ACCESSED: yes","X","")</f>
        <v>X</v>
      </c>
      <c r="N141" s="1" t="s">
        <v>25</v>
      </c>
      <c r="O141" s="1" t="s">
        <v>25</v>
      </c>
      <c r="P141" s="1" t="s">
        <v>27</v>
      </c>
      <c r="Q141" s="1" t="s">
        <v>1347</v>
      </c>
      <c r="R141" s="1" t="s">
        <v>28</v>
      </c>
      <c r="S141" s="1" t="str">
        <f>IF(results_context_via_permalink_gpt_5_2025_08_07_with_justification_run1__2[[#This Row],[they_type]]=results_context_via_permalink_gpt_5_2025_08_07_with_justification_run1__2[[#This Row],[LLM_annotation]],"X","")</f>
        <v/>
      </c>
      <c r="T141" s="1" t="s">
        <v>25</v>
      </c>
    </row>
    <row r="142" spans="1:20" x14ac:dyDescent="0.2">
      <c r="A142" s="1" t="s">
        <v>968</v>
      </c>
      <c r="B142" s="1" t="s">
        <v>969</v>
      </c>
      <c r="C142" s="1" t="s">
        <v>970</v>
      </c>
      <c r="D142" s="1" t="s">
        <v>971</v>
      </c>
      <c r="E142" s="1" t="s">
        <v>972</v>
      </c>
      <c r="F142" s="1" t="s">
        <v>973</v>
      </c>
      <c r="G142" s="1" t="s">
        <v>25</v>
      </c>
      <c r="H142">
        <v>16227991320</v>
      </c>
      <c r="I142" s="1" t="s">
        <v>404</v>
      </c>
      <c r="J142" s="1" t="s">
        <v>27</v>
      </c>
      <c r="K142" s="1" t="s">
        <v>131</v>
      </c>
      <c r="L142" s="1" t="s">
        <v>25</v>
      </c>
      <c r="M142" s="1" t="str">
        <f>IF(LEFT(results_context_via_permalink_gpt_5_2025_08_07_with_justification_run1__2[[#This Row],[LLM_response]],21)="CONTEXT_ACCESSED: yes","X","")</f>
        <v>X</v>
      </c>
      <c r="N142" s="1" t="s">
        <v>25</v>
      </c>
      <c r="O142" s="1" t="s">
        <v>25</v>
      </c>
      <c r="P142" s="1" t="s">
        <v>25</v>
      </c>
      <c r="Q142" s="1" t="s">
        <v>1348</v>
      </c>
      <c r="R142" s="1" t="s">
        <v>131</v>
      </c>
      <c r="S142" s="1" t="str">
        <f>IF(results_context_via_permalink_gpt_5_2025_08_07_with_justification_run1__2[[#This Row],[they_type]]=results_context_via_permalink_gpt_5_2025_08_07_with_justification_run1__2[[#This Row],[LLM_annotation]],"X","")</f>
        <v>X</v>
      </c>
      <c r="T142" s="1" t="s">
        <v>25</v>
      </c>
    </row>
    <row r="143" spans="1:20" x14ac:dyDescent="0.2">
      <c r="A143" s="1" t="s">
        <v>975</v>
      </c>
      <c r="B143" s="1" t="s">
        <v>976</v>
      </c>
      <c r="C143" s="1" t="s">
        <v>977</v>
      </c>
      <c r="D143" s="1" t="s">
        <v>978</v>
      </c>
      <c r="E143" s="1" t="s">
        <v>979</v>
      </c>
      <c r="F143" s="1" t="s">
        <v>980</v>
      </c>
      <c r="G143" s="1" t="s">
        <v>25</v>
      </c>
      <c r="H143">
        <v>16228061040</v>
      </c>
      <c r="I143" s="1" t="s">
        <v>450</v>
      </c>
      <c r="J143" s="1" t="s">
        <v>27</v>
      </c>
      <c r="K143" s="1" t="s">
        <v>131</v>
      </c>
      <c r="L143" s="1" t="s">
        <v>25</v>
      </c>
      <c r="M143" s="1" t="str">
        <f>IF(LEFT(results_context_via_permalink_gpt_5_2025_08_07_with_justification_run1__2[[#This Row],[LLM_response]],21)="CONTEXT_ACCESSED: yes","X","")</f>
        <v>X</v>
      </c>
      <c r="N143" s="1" t="s">
        <v>25</v>
      </c>
      <c r="O143" s="1" t="s">
        <v>25</v>
      </c>
      <c r="P143" s="1" t="s">
        <v>25</v>
      </c>
      <c r="Q143" s="1" t="s">
        <v>1349</v>
      </c>
      <c r="R143" s="1" t="s">
        <v>131</v>
      </c>
      <c r="S143" s="1" t="str">
        <f>IF(results_context_via_permalink_gpt_5_2025_08_07_with_justification_run1__2[[#This Row],[they_type]]=results_context_via_permalink_gpt_5_2025_08_07_with_justification_run1__2[[#This Row],[LLM_annotation]],"X","")</f>
        <v>X</v>
      </c>
      <c r="T143" s="1" t="s">
        <v>25</v>
      </c>
    </row>
    <row r="144" spans="1:20" x14ac:dyDescent="0.2">
      <c r="A144" s="1" t="s">
        <v>982</v>
      </c>
      <c r="B144" s="1" t="s">
        <v>983</v>
      </c>
      <c r="C144" s="1" t="s">
        <v>984</v>
      </c>
      <c r="D144" s="1" t="s">
        <v>985</v>
      </c>
      <c r="E144" s="1" t="s">
        <v>986</v>
      </c>
      <c r="F144" s="1" t="s">
        <v>987</v>
      </c>
      <c r="G144" s="1" t="s">
        <v>25</v>
      </c>
      <c r="H144">
        <v>16228098850</v>
      </c>
      <c r="I144" s="1" t="s">
        <v>368</v>
      </c>
      <c r="J144" s="1" t="s">
        <v>27</v>
      </c>
      <c r="K144" s="1" t="s">
        <v>28</v>
      </c>
      <c r="L144" s="1" t="s">
        <v>25</v>
      </c>
      <c r="M144" s="1" t="str">
        <f>IF(LEFT(results_context_via_permalink_gpt_5_2025_08_07_with_justification_run1__2[[#This Row],[LLM_response]],21)="CONTEXT_ACCESSED: yes","X","")</f>
        <v>X</v>
      </c>
      <c r="N144" s="1" t="s">
        <v>25</v>
      </c>
      <c r="O144" s="1" t="s">
        <v>25</v>
      </c>
      <c r="P144" s="1" t="s">
        <v>25</v>
      </c>
      <c r="Q144" s="1" t="s">
        <v>1350</v>
      </c>
      <c r="R144" s="1" t="s">
        <v>28</v>
      </c>
      <c r="S144" s="1" t="str">
        <f>IF(results_context_via_permalink_gpt_5_2025_08_07_with_justification_run1__2[[#This Row],[they_type]]=results_context_via_permalink_gpt_5_2025_08_07_with_justification_run1__2[[#This Row],[LLM_annotation]],"X","")</f>
        <v>X</v>
      </c>
      <c r="T144" s="1" t="s">
        <v>25</v>
      </c>
    </row>
    <row r="145" spans="1:20" x14ac:dyDescent="0.2">
      <c r="A145" s="1" t="s">
        <v>989</v>
      </c>
      <c r="B145" s="1" t="s">
        <v>990</v>
      </c>
      <c r="C145" s="1" t="s">
        <v>991</v>
      </c>
      <c r="D145" s="1" t="s">
        <v>992</v>
      </c>
      <c r="E145" s="1" t="s">
        <v>993</v>
      </c>
      <c r="F145" s="1" t="s">
        <v>994</v>
      </c>
      <c r="G145" s="1" t="s">
        <v>25</v>
      </c>
      <c r="H145">
        <v>16228115440</v>
      </c>
      <c r="I145" s="1" t="s">
        <v>404</v>
      </c>
      <c r="J145" s="1" t="s">
        <v>27</v>
      </c>
      <c r="K145" s="1" t="s">
        <v>131</v>
      </c>
      <c r="L145" s="1" t="s">
        <v>25</v>
      </c>
      <c r="M145" s="1" t="str">
        <f>IF(LEFT(results_context_via_permalink_gpt_5_2025_08_07_with_justification_run1__2[[#This Row],[LLM_response]],21)="CONTEXT_ACCESSED: yes","X","")</f>
        <v/>
      </c>
      <c r="N145" s="1" t="s">
        <v>25</v>
      </c>
      <c r="O145" s="1" t="s">
        <v>25</v>
      </c>
      <c r="P145" s="1" t="s">
        <v>25</v>
      </c>
      <c r="Q145" s="1" t="s">
        <v>1351</v>
      </c>
      <c r="R145" s="1" t="s">
        <v>131</v>
      </c>
      <c r="S145" s="1" t="str">
        <f>IF(results_context_via_permalink_gpt_5_2025_08_07_with_justification_run1__2[[#This Row],[they_type]]=results_context_via_permalink_gpt_5_2025_08_07_with_justification_run1__2[[#This Row],[LLM_annotation]],"X","")</f>
        <v>X</v>
      </c>
      <c r="T145" s="1" t="s">
        <v>25</v>
      </c>
    </row>
    <row r="146" spans="1:20" x14ac:dyDescent="0.2">
      <c r="A146" s="1" t="s">
        <v>996</v>
      </c>
      <c r="B146" s="1" t="s">
        <v>997</v>
      </c>
      <c r="C146" s="1" t="s">
        <v>998</v>
      </c>
      <c r="D146" s="1" t="s">
        <v>999</v>
      </c>
      <c r="E146" s="1" t="s">
        <v>1000</v>
      </c>
      <c r="F146" s="1" t="s">
        <v>1001</v>
      </c>
      <c r="G146" s="1" t="s">
        <v>25</v>
      </c>
      <c r="H146">
        <v>16228145460</v>
      </c>
      <c r="I146" s="1" t="s">
        <v>1002</v>
      </c>
      <c r="J146" s="1" t="s">
        <v>27</v>
      </c>
      <c r="K146" s="1" t="s">
        <v>28</v>
      </c>
      <c r="L146" s="1" t="s">
        <v>25</v>
      </c>
      <c r="M146" s="1" t="str">
        <f>IF(LEFT(results_context_via_permalink_gpt_5_2025_08_07_with_justification_run1__2[[#This Row],[LLM_response]],21)="CONTEXT_ACCESSED: yes","X","")</f>
        <v/>
      </c>
      <c r="N146" s="1" t="s">
        <v>25</v>
      </c>
      <c r="O146" s="1" t="s">
        <v>25</v>
      </c>
      <c r="P146" s="1" t="s">
        <v>25</v>
      </c>
      <c r="Q146" s="1" t="s">
        <v>1352</v>
      </c>
      <c r="R146" s="1" t="s">
        <v>28</v>
      </c>
      <c r="S146" s="1" t="str">
        <f>IF(results_context_via_permalink_gpt_5_2025_08_07_with_justification_run1__2[[#This Row],[they_type]]=results_context_via_permalink_gpt_5_2025_08_07_with_justification_run1__2[[#This Row],[LLM_annotation]],"X","")</f>
        <v>X</v>
      </c>
      <c r="T146" s="1" t="s">
        <v>25</v>
      </c>
    </row>
    <row r="147" spans="1:20" x14ac:dyDescent="0.2">
      <c r="A147" s="1" t="s">
        <v>1004</v>
      </c>
      <c r="B147" s="1" t="s">
        <v>1005</v>
      </c>
      <c r="C147" s="1" t="s">
        <v>1006</v>
      </c>
      <c r="D147" s="1" t="s">
        <v>1007</v>
      </c>
      <c r="E147" s="1" t="s">
        <v>577</v>
      </c>
      <c r="F147" s="1" t="s">
        <v>1008</v>
      </c>
      <c r="G147" s="1" t="s">
        <v>25</v>
      </c>
      <c r="H147">
        <v>16228156260</v>
      </c>
      <c r="I147" s="1" t="s">
        <v>450</v>
      </c>
      <c r="J147" s="1" t="s">
        <v>27</v>
      </c>
      <c r="K147" s="1" t="s">
        <v>36</v>
      </c>
      <c r="L147" s="1" t="s">
        <v>25</v>
      </c>
      <c r="M147" s="1" t="str">
        <f>IF(LEFT(results_context_via_permalink_gpt_5_2025_08_07_with_justification_run1__2[[#This Row],[LLM_response]],21)="CONTEXT_ACCESSED: yes","X","")</f>
        <v>X</v>
      </c>
      <c r="N147" s="1" t="s">
        <v>25</v>
      </c>
      <c r="O147" s="1" t="s">
        <v>25</v>
      </c>
      <c r="P147" s="1" t="s">
        <v>25</v>
      </c>
      <c r="Q147" s="1" t="s">
        <v>1353</v>
      </c>
      <c r="R147" s="1" t="s">
        <v>36</v>
      </c>
      <c r="S147" s="1" t="str">
        <f>IF(results_context_via_permalink_gpt_5_2025_08_07_with_justification_run1__2[[#This Row],[they_type]]=results_context_via_permalink_gpt_5_2025_08_07_with_justification_run1__2[[#This Row],[LLM_annotation]],"X","")</f>
        <v>X</v>
      </c>
      <c r="T147" s="1" t="s">
        <v>25</v>
      </c>
    </row>
    <row r="148" spans="1:20" x14ac:dyDescent="0.2">
      <c r="A148" s="1" t="s">
        <v>1010</v>
      </c>
      <c r="B148" s="1" t="s">
        <v>1011</v>
      </c>
      <c r="C148" s="1" t="s">
        <v>1012</v>
      </c>
      <c r="D148" s="1" t="s">
        <v>1013</v>
      </c>
      <c r="E148" s="1" t="s">
        <v>1014</v>
      </c>
      <c r="F148" s="1" t="s">
        <v>1015</v>
      </c>
      <c r="G148" s="1" t="s">
        <v>25</v>
      </c>
      <c r="H148">
        <v>16225498730</v>
      </c>
      <c r="I148" s="1" t="s">
        <v>450</v>
      </c>
      <c r="J148" s="1" t="s">
        <v>27</v>
      </c>
      <c r="K148" s="1" t="s">
        <v>36</v>
      </c>
      <c r="L148" s="1" t="s">
        <v>25</v>
      </c>
      <c r="M148" s="1" t="str">
        <f>IF(LEFT(results_context_via_permalink_gpt_5_2025_08_07_with_justification_run1__2[[#This Row],[LLM_response]],21)="CONTEXT_ACCESSED: yes","X","")</f>
        <v>X</v>
      </c>
      <c r="N148" s="1" t="s">
        <v>25</v>
      </c>
      <c r="O148" s="1" t="s">
        <v>25</v>
      </c>
      <c r="P148" s="1" t="s">
        <v>25</v>
      </c>
      <c r="Q148" s="1" t="s">
        <v>1354</v>
      </c>
      <c r="R148" s="1" t="s">
        <v>36</v>
      </c>
      <c r="S148" s="1" t="str">
        <f>IF(results_context_via_permalink_gpt_5_2025_08_07_with_justification_run1__2[[#This Row],[they_type]]=results_context_via_permalink_gpt_5_2025_08_07_with_justification_run1__2[[#This Row],[LLM_annotation]],"X","")</f>
        <v>X</v>
      </c>
      <c r="T148" s="1" t="s">
        <v>25</v>
      </c>
    </row>
    <row r="149" spans="1:20" x14ac:dyDescent="0.2">
      <c r="A149" s="1" t="s">
        <v>1017</v>
      </c>
      <c r="B149" s="1" t="s">
        <v>1018</v>
      </c>
      <c r="C149" s="1" t="s">
        <v>1019</v>
      </c>
      <c r="D149" s="1" t="s">
        <v>1020</v>
      </c>
      <c r="E149" s="1" t="s">
        <v>1021</v>
      </c>
      <c r="F149" s="1" t="s">
        <v>1022</v>
      </c>
      <c r="G149" s="1" t="s">
        <v>1023</v>
      </c>
      <c r="H149">
        <v>16228367000</v>
      </c>
      <c r="I149" s="1" t="s">
        <v>450</v>
      </c>
      <c r="J149" s="1" t="s">
        <v>27</v>
      </c>
      <c r="K149" s="1" t="s">
        <v>131</v>
      </c>
      <c r="L149" s="1" t="s">
        <v>25</v>
      </c>
      <c r="M149" s="1" t="str">
        <f>IF(LEFT(results_context_via_permalink_gpt_5_2025_08_07_with_justification_run1__2[[#This Row],[LLM_response]],21)="CONTEXT_ACCESSED: yes","X","")</f>
        <v>X</v>
      </c>
      <c r="N149" s="1" t="s">
        <v>25</v>
      </c>
      <c r="O149" s="1" t="s">
        <v>25</v>
      </c>
      <c r="P149" s="1" t="s">
        <v>25</v>
      </c>
      <c r="Q149" s="1" t="s">
        <v>1355</v>
      </c>
      <c r="R149" s="1" t="s">
        <v>131</v>
      </c>
      <c r="S149" s="1" t="str">
        <f>IF(results_context_via_permalink_gpt_5_2025_08_07_with_justification_run1__2[[#This Row],[they_type]]=results_context_via_permalink_gpt_5_2025_08_07_with_justification_run1__2[[#This Row],[LLM_annotation]],"X","")</f>
        <v>X</v>
      </c>
      <c r="T149" s="1" t="s">
        <v>25</v>
      </c>
    </row>
    <row r="150" spans="1:20" x14ac:dyDescent="0.2">
      <c r="A150" s="1" t="s">
        <v>1025</v>
      </c>
      <c r="B150" s="1" t="s">
        <v>1026</v>
      </c>
      <c r="C150" s="1" t="s">
        <v>1027</v>
      </c>
      <c r="D150" s="1" t="s">
        <v>1028</v>
      </c>
      <c r="E150" s="1" t="s">
        <v>1029</v>
      </c>
      <c r="F150" s="1" t="s">
        <v>1030</v>
      </c>
      <c r="G150" s="1" t="s">
        <v>1031</v>
      </c>
      <c r="H150">
        <v>15698892440</v>
      </c>
      <c r="I150" s="1" t="s">
        <v>471</v>
      </c>
      <c r="J150" s="1" t="s">
        <v>27</v>
      </c>
      <c r="K150" s="1" t="s">
        <v>131</v>
      </c>
      <c r="L150" s="1" t="s">
        <v>25</v>
      </c>
      <c r="M150" s="1" t="str">
        <f>IF(LEFT(results_context_via_permalink_gpt_5_2025_08_07_with_justification_run1__2[[#This Row],[LLM_response]],21)="CONTEXT_ACCESSED: yes","X","")</f>
        <v>X</v>
      </c>
      <c r="N150" s="1" t="s">
        <v>25</v>
      </c>
      <c r="O150" s="1" t="s">
        <v>25</v>
      </c>
      <c r="P150" s="1" t="s">
        <v>25</v>
      </c>
      <c r="Q150" s="1" t="s">
        <v>1356</v>
      </c>
      <c r="R150" s="1" t="s">
        <v>131</v>
      </c>
      <c r="S150" s="1" t="str">
        <f>IF(results_context_via_permalink_gpt_5_2025_08_07_with_justification_run1__2[[#This Row],[they_type]]=results_context_via_permalink_gpt_5_2025_08_07_with_justification_run1__2[[#This Row],[LLM_annotation]],"X","")</f>
        <v>X</v>
      </c>
      <c r="T150" s="1" t="s">
        <v>25</v>
      </c>
    </row>
    <row r="151" spans="1:20" x14ac:dyDescent="0.2">
      <c r="A151" s="1" t="s">
        <v>1033</v>
      </c>
      <c r="B151" s="1" t="s">
        <v>1034</v>
      </c>
      <c r="C151" s="1" t="s">
        <v>1035</v>
      </c>
      <c r="D151" s="1" t="s">
        <v>1036</v>
      </c>
      <c r="E151" s="1" t="s">
        <v>1037</v>
      </c>
      <c r="F151" s="1" t="s">
        <v>1038</v>
      </c>
      <c r="G151" s="1" t="s">
        <v>25</v>
      </c>
      <c r="H151">
        <v>16225513190</v>
      </c>
      <c r="I151" s="1" t="s">
        <v>368</v>
      </c>
      <c r="J151" s="1" t="s">
        <v>27</v>
      </c>
      <c r="K151" s="1" t="s">
        <v>36</v>
      </c>
      <c r="L151" s="1" t="s">
        <v>25</v>
      </c>
      <c r="M151" s="1" t="str">
        <f>IF(LEFT(results_context_via_permalink_gpt_5_2025_08_07_with_justification_run1__2[[#This Row],[LLM_response]],21)="CONTEXT_ACCESSED: yes","X","")</f>
        <v/>
      </c>
      <c r="N151" s="1" t="s">
        <v>25</v>
      </c>
      <c r="O151" s="1" t="s">
        <v>25</v>
      </c>
      <c r="P151" s="1" t="s">
        <v>25</v>
      </c>
      <c r="Q151" s="1" t="s">
        <v>1357</v>
      </c>
      <c r="R151" s="1" t="s">
        <v>36</v>
      </c>
      <c r="S151" s="1" t="str">
        <f>IF(results_context_via_permalink_gpt_5_2025_08_07_with_justification_run1__2[[#This Row],[they_type]]=results_context_via_permalink_gpt_5_2025_08_07_with_justification_run1__2[[#This Row],[LLM_annotation]],"X","")</f>
        <v>X</v>
      </c>
      <c r="T151" s="1" t="s">
        <v>25</v>
      </c>
    </row>
    <row r="152" spans="1:20" x14ac:dyDescent="0.2">
      <c r="A152" s="1" t="s">
        <v>1040</v>
      </c>
      <c r="B152" s="1" t="s">
        <v>1041</v>
      </c>
      <c r="C152" s="1" t="s">
        <v>1042</v>
      </c>
      <c r="D152" s="1" t="s">
        <v>1043</v>
      </c>
      <c r="E152" s="1" t="s">
        <v>1044</v>
      </c>
      <c r="F152" s="1" t="s">
        <v>1045</v>
      </c>
      <c r="G152" s="1" t="s">
        <v>25</v>
      </c>
      <c r="H152">
        <v>16228454490</v>
      </c>
      <c r="I152" s="1" t="s">
        <v>450</v>
      </c>
      <c r="J152" s="1" t="s">
        <v>27</v>
      </c>
      <c r="K152" s="1" t="s">
        <v>36</v>
      </c>
      <c r="L152" s="1" t="s">
        <v>25</v>
      </c>
      <c r="M152" s="1" t="str">
        <f>IF(LEFT(results_context_via_permalink_gpt_5_2025_08_07_with_justification_run1__2[[#This Row],[LLM_response]],21)="CONTEXT_ACCESSED: yes","X","")</f>
        <v/>
      </c>
      <c r="N152" s="1" t="s">
        <v>25</v>
      </c>
      <c r="O152" s="1" t="s">
        <v>25</v>
      </c>
      <c r="P152" s="1" t="s">
        <v>25</v>
      </c>
      <c r="Q152" s="1" t="s">
        <v>1358</v>
      </c>
      <c r="R152" s="1" t="s">
        <v>36</v>
      </c>
      <c r="S152" s="1" t="str">
        <f>IF(results_context_via_permalink_gpt_5_2025_08_07_with_justification_run1__2[[#This Row],[they_type]]=results_context_via_permalink_gpt_5_2025_08_07_with_justification_run1__2[[#This Row],[LLM_annotation]],"X","")</f>
        <v>X</v>
      </c>
      <c r="T152" s="1" t="s">
        <v>25</v>
      </c>
    </row>
    <row r="153" spans="1:20" x14ac:dyDescent="0.2">
      <c r="A153" s="1" t="s">
        <v>1047</v>
      </c>
      <c r="B153" s="1" t="s">
        <v>1048</v>
      </c>
      <c r="C153" s="1" t="s">
        <v>1049</v>
      </c>
      <c r="D153" s="1" t="s">
        <v>1050</v>
      </c>
      <c r="E153" s="1" t="s">
        <v>1051</v>
      </c>
      <c r="F153" s="1" t="s">
        <v>1052</v>
      </c>
      <c r="G153" s="1" t="s">
        <v>1053</v>
      </c>
      <c r="H153">
        <v>15698893190</v>
      </c>
      <c r="I153" s="1" t="s">
        <v>615</v>
      </c>
      <c r="J153" s="1" t="s">
        <v>27</v>
      </c>
      <c r="K153" s="1" t="s">
        <v>36</v>
      </c>
      <c r="L153" s="1" t="s">
        <v>25</v>
      </c>
      <c r="M153" s="1" t="str">
        <f>IF(LEFT(results_context_via_permalink_gpt_5_2025_08_07_with_justification_run1__2[[#This Row],[LLM_response]],21)="CONTEXT_ACCESSED: yes","X","")</f>
        <v/>
      </c>
      <c r="N153" s="1" t="s">
        <v>25</v>
      </c>
      <c r="O153" s="1" t="s">
        <v>25</v>
      </c>
      <c r="P153" s="1" t="s">
        <v>25</v>
      </c>
      <c r="Q153" s="1" t="s">
        <v>1359</v>
      </c>
      <c r="R153" s="1" t="s">
        <v>36</v>
      </c>
      <c r="S153" s="1" t="str">
        <f>IF(results_context_via_permalink_gpt_5_2025_08_07_with_justification_run1__2[[#This Row],[they_type]]=results_context_via_permalink_gpt_5_2025_08_07_with_justification_run1__2[[#This Row],[LLM_annotation]],"X","")</f>
        <v>X</v>
      </c>
      <c r="T153" s="1" t="s">
        <v>25</v>
      </c>
    </row>
    <row r="154" spans="1:20" x14ac:dyDescent="0.2">
      <c r="A154" s="1" t="s">
        <v>1055</v>
      </c>
      <c r="B154" s="1" t="s">
        <v>1056</v>
      </c>
      <c r="C154" s="1" t="s">
        <v>1057</v>
      </c>
      <c r="D154" s="1" t="s">
        <v>1058</v>
      </c>
      <c r="E154" s="1" t="s">
        <v>1059</v>
      </c>
      <c r="F154" s="1" t="s">
        <v>1060</v>
      </c>
      <c r="G154" s="1" t="s">
        <v>1061</v>
      </c>
      <c r="H154">
        <v>16228491620</v>
      </c>
      <c r="I154" s="1" t="s">
        <v>450</v>
      </c>
      <c r="J154" s="1" t="s">
        <v>27</v>
      </c>
      <c r="K154" s="1" t="s">
        <v>131</v>
      </c>
      <c r="L154" s="1" t="s">
        <v>25</v>
      </c>
      <c r="M154" s="1" t="str">
        <f>IF(LEFT(results_context_via_permalink_gpt_5_2025_08_07_with_justification_run1__2[[#This Row],[LLM_response]],21)="CONTEXT_ACCESSED: yes","X","")</f>
        <v/>
      </c>
      <c r="N154" s="1" t="s">
        <v>25</v>
      </c>
      <c r="O154" s="1" t="s">
        <v>25</v>
      </c>
      <c r="P154" s="1" t="s">
        <v>25</v>
      </c>
      <c r="Q154" s="1" t="s">
        <v>1360</v>
      </c>
      <c r="R154" s="1" t="s">
        <v>131</v>
      </c>
      <c r="S154" s="1" t="str">
        <f>IF(results_context_via_permalink_gpt_5_2025_08_07_with_justification_run1__2[[#This Row],[they_type]]=results_context_via_permalink_gpt_5_2025_08_07_with_justification_run1__2[[#This Row],[LLM_annotation]],"X","")</f>
        <v>X</v>
      </c>
      <c r="T154" s="1" t="s">
        <v>25</v>
      </c>
    </row>
    <row r="155" spans="1:20" x14ac:dyDescent="0.2">
      <c r="A155" s="1" t="s">
        <v>1063</v>
      </c>
      <c r="B155" s="1" t="s">
        <v>1064</v>
      </c>
      <c r="C155" s="1" t="s">
        <v>1065</v>
      </c>
      <c r="D155" s="1" t="s">
        <v>1066</v>
      </c>
      <c r="E155" s="1" t="s">
        <v>1067</v>
      </c>
      <c r="F155" s="1" t="s">
        <v>1068</v>
      </c>
      <c r="G155" s="1" t="s">
        <v>25</v>
      </c>
      <c r="H155">
        <v>15698893500</v>
      </c>
      <c r="I155" s="1" t="s">
        <v>450</v>
      </c>
      <c r="J155" s="1" t="s">
        <v>27</v>
      </c>
      <c r="K155" s="1" t="s">
        <v>131</v>
      </c>
      <c r="L155" s="1" t="s">
        <v>25</v>
      </c>
      <c r="M155" s="1" t="str">
        <f>IF(LEFT(results_context_via_permalink_gpt_5_2025_08_07_with_justification_run1__2[[#This Row],[LLM_response]],21)="CONTEXT_ACCESSED: yes","X","")</f>
        <v>X</v>
      </c>
      <c r="N155" s="1" t="s">
        <v>25</v>
      </c>
      <c r="O155" s="1" t="s">
        <v>25</v>
      </c>
      <c r="P155" s="1" t="s">
        <v>27</v>
      </c>
      <c r="Q155" s="1" t="s">
        <v>1361</v>
      </c>
      <c r="R155" s="1" t="s">
        <v>131</v>
      </c>
      <c r="S155" s="1" t="str">
        <f>IF(results_context_via_permalink_gpt_5_2025_08_07_with_justification_run1__2[[#This Row],[they_type]]=results_context_via_permalink_gpt_5_2025_08_07_with_justification_run1__2[[#This Row],[LLM_annotation]],"X","")</f>
        <v>X</v>
      </c>
      <c r="T155" s="1" t="s">
        <v>25</v>
      </c>
    </row>
    <row r="156" spans="1:20" x14ac:dyDescent="0.2">
      <c r="A156" s="1" t="s">
        <v>1070</v>
      </c>
      <c r="B156" s="1" t="s">
        <v>1071</v>
      </c>
      <c r="C156" s="1" t="s">
        <v>1072</v>
      </c>
      <c r="D156" s="1" t="s">
        <v>1073</v>
      </c>
      <c r="E156" s="1" t="s">
        <v>1074</v>
      </c>
      <c r="F156" s="1" t="s">
        <v>1075</v>
      </c>
      <c r="G156" s="1" t="s">
        <v>25</v>
      </c>
      <c r="H156">
        <v>16228567470</v>
      </c>
      <c r="I156" s="1" t="s">
        <v>404</v>
      </c>
      <c r="J156" s="1" t="s">
        <v>27</v>
      </c>
      <c r="K156" s="1" t="s">
        <v>36</v>
      </c>
      <c r="L156" s="1" t="s">
        <v>25</v>
      </c>
      <c r="M156" s="1" t="str">
        <f>IF(LEFT(results_context_via_permalink_gpt_5_2025_08_07_with_justification_run1__2[[#This Row],[LLM_response]],21)="CONTEXT_ACCESSED: yes","X","")</f>
        <v/>
      </c>
      <c r="N156" s="1" t="s">
        <v>25</v>
      </c>
      <c r="O156" s="1" t="s">
        <v>25</v>
      </c>
      <c r="P156" s="1" t="s">
        <v>25</v>
      </c>
      <c r="Q156" s="1" t="s">
        <v>1362</v>
      </c>
      <c r="R156" s="1" t="s">
        <v>36</v>
      </c>
      <c r="S156" s="1" t="str">
        <f>IF(results_context_via_permalink_gpt_5_2025_08_07_with_justification_run1__2[[#This Row],[they_type]]=results_context_via_permalink_gpt_5_2025_08_07_with_justification_run1__2[[#This Row],[LLM_annotation]],"X","")</f>
        <v>X</v>
      </c>
      <c r="T156" s="1" t="s">
        <v>25</v>
      </c>
    </row>
    <row r="157" spans="1:20" x14ac:dyDescent="0.2">
      <c r="A157" s="1" t="s">
        <v>1077</v>
      </c>
      <c r="B157" s="1" t="s">
        <v>1078</v>
      </c>
      <c r="C157" s="1" t="s">
        <v>1079</v>
      </c>
      <c r="D157" s="1" t="s">
        <v>1080</v>
      </c>
      <c r="E157" s="1" t="s">
        <v>54</v>
      </c>
      <c r="F157" s="1" t="s">
        <v>1081</v>
      </c>
      <c r="G157" s="1" t="s">
        <v>25</v>
      </c>
      <c r="H157">
        <v>15698894400</v>
      </c>
      <c r="I157" s="1" t="s">
        <v>450</v>
      </c>
      <c r="J157" s="1" t="s">
        <v>27</v>
      </c>
      <c r="K157" s="1" t="s">
        <v>28</v>
      </c>
      <c r="L157" s="1" t="s">
        <v>25</v>
      </c>
      <c r="M157" s="1" t="str">
        <f>IF(LEFT(results_context_via_permalink_gpt_5_2025_08_07_with_justification_run1__2[[#This Row],[LLM_response]],21)="CONTEXT_ACCESSED: yes","X","")</f>
        <v>X</v>
      </c>
      <c r="N157" s="1" t="s">
        <v>25</v>
      </c>
      <c r="O157" s="1" t="s">
        <v>25</v>
      </c>
      <c r="P157" s="1" t="s">
        <v>25</v>
      </c>
      <c r="Q157" s="1" t="s">
        <v>1363</v>
      </c>
      <c r="R157" s="1" t="s">
        <v>28</v>
      </c>
      <c r="S157" s="1" t="str">
        <f>IF(results_context_via_permalink_gpt_5_2025_08_07_with_justification_run1__2[[#This Row],[they_type]]=results_context_via_permalink_gpt_5_2025_08_07_with_justification_run1__2[[#This Row],[LLM_annotation]],"X","")</f>
        <v>X</v>
      </c>
      <c r="T157" s="1" t="s">
        <v>25</v>
      </c>
    </row>
    <row r="158" spans="1:20" x14ac:dyDescent="0.2">
      <c r="A158" s="1" t="s">
        <v>1083</v>
      </c>
      <c r="B158" s="1" t="s">
        <v>1084</v>
      </c>
      <c r="C158" s="1" t="s">
        <v>1085</v>
      </c>
      <c r="D158" s="1" t="s">
        <v>1086</v>
      </c>
      <c r="E158" s="1" t="s">
        <v>1087</v>
      </c>
      <c r="F158" s="1" t="s">
        <v>1088</v>
      </c>
      <c r="G158" s="1" t="s">
        <v>1089</v>
      </c>
      <c r="H158">
        <v>16228571780</v>
      </c>
      <c r="I158" s="1" t="s">
        <v>404</v>
      </c>
      <c r="J158" s="1" t="s">
        <v>27</v>
      </c>
      <c r="K158" s="1" t="s">
        <v>28</v>
      </c>
      <c r="L158" s="1" t="s">
        <v>25</v>
      </c>
      <c r="M158" s="1" t="str">
        <f>IF(LEFT(results_context_via_permalink_gpt_5_2025_08_07_with_justification_run1__2[[#This Row],[LLM_response]],21)="CONTEXT_ACCESSED: yes","X","")</f>
        <v>X</v>
      </c>
      <c r="N158" s="1" t="s">
        <v>25</v>
      </c>
      <c r="O158" s="1" t="s">
        <v>25</v>
      </c>
      <c r="P158" s="1" t="s">
        <v>25</v>
      </c>
      <c r="Q158" s="1" t="s">
        <v>1364</v>
      </c>
      <c r="R158" s="1" t="s">
        <v>28</v>
      </c>
      <c r="S158" s="1" t="str">
        <f>IF(results_context_via_permalink_gpt_5_2025_08_07_with_justification_run1__2[[#This Row],[they_type]]=results_context_via_permalink_gpt_5_2025_08_07_with_justification_run1__2[[#This Row],[LLM_annotation]],"X","")</f>
        <v>X</v>
      </c>
      <c r="T158" s="1" t="s">
        <v>25</v>
      </c>
    </row>
    <row r="159" spans="1:20" x14ac:dyDescent="0.2">
      <c r="A159" s="1" t="s">
        <v>1091</v>
      </c>
      <c r="B159" s="1" t="s">
        <v>1092</v>
      </c>
      <c r="C159" s="1" t="s">
        <v>1093</v>
      </c>
      <c r="D159" s="1" t="s">
        <v>1094</v>
      </c>
      <c r="E159" s="1" t="s">
        <v>1095</v>
      </c>
      <c r="F159" s="1" t="s">
        <v>1096</v>
      </c>
      <c r="G159" s="1" t="s">
        <v>1097</v>
      </c>
      <c r="H159">
        <v>16228626630</v>
      </c>
      <c r="I159" s="1" t="s">
        <v>450</v>
      </c>
      <c r="J159" s="1" t="s">
        <v>27</v>
      </c>
      <c r="K159" s="1" t="s">
        <v>131</v>
      </c>
      <c r="L159" s="1" t="s">
        <v>25</v>
      </c>
      <c r="M159" s="1" t="str">
        <f>IF(LEFT(results_context_via_permalink_gpt_5_2025_08_07_with_justification_run1__2[[#This Row],[LLM_response]],21)="CONTEXT_ACCESSED: yes","X","")</f>
        <v/>
      </c>
      <c r="N159" s="1" t="s">
        <v>25</v>
      </c>
      <c r="O159" s="1" t="s">
        <v>25</v>
      </c>
      <c r="P159" s="1" t="s">
        <v>25</v>
      </c>
      <c r="Q159" s="1" t="s">
        <v>1365</v>
      </c>
      <c r="R159" s="1" t="s">
        <v>131</v>
      </c>
      <c r="S159" s="1" t="str">
        <f>IF(results_context_via_permalink_gpt_5_2025_08_07_with_justification_run1__2[[#This Row],[they_type]]=results_context_via_permalink_gpt_5_2025_08_07_with_justification_run1__2[[#This Row],[LLM_annotation]],"X","")</f>
        <v>X</v>
      </c>
      <c r="T159" s="1" t="s">
        <v>25</v>
      </c>
    </row>
    <row r="160" spans="1:20" x14ac:dyDescent="0.2">
      <c r="A160" s="1" t="s">
        <v>1099</v>
      </c>
      <c r="B160" s="1" t="s">
        <v>1100</v>
      </c>
      <c r="C160" s="1" t="s">
        <v>1101</v>
      </c>
      <c r="D160" s="1" t="s">
        <v>1102</v>
      </c>
      <c r="E160" s="1" t="s">
        <v>1103</v>
      </c>
      <c r="F160" s="1" t="s">
        <v>1104</v>
      </c>
      <c r="G160" s="1" t="s">
        <v>25</v>
      </c>
      <c r="H160">
        <v>16228671760</v>
      </c>
      <c r="I160" s="1" t="s">
        <v>471</v>
      </c>
      <c r="J160" s="1" t="s">
        <v>27</v>
      </c>
      <c r="K160" s="1" t="s">
        <v>28</v>
      </c>
      <c r="L160" s="1" t="s">
        <v>25</v>
      </c>
      <c r="M160" s="1" t="str">
        <f>IF(LEFT(results_context_via_permalink_gpt_5_2025_08_07_with_justification_run1__2[[#This Row],[LLM_response]],21)="CONTEXT_ACCESSED: yes","X","")</f>
        <v>X</v>
      </c>
      <c r="N160" s="1" t="s">
        <v>25</v>
      </c>
      <c r="O160" s="1" t="s">
        <v>25</v>
      </c>
      <c r="P160" s="1" t="s">
        <v>25</v>
      </c>
      <c r="Q160" s="1" t="s">
        <v>1366</v>
      </c>
      <c r="R160" s="1" t="s">
        <v>28</v>
      </c>
      <c r="S160" s="1" t="str">
        <f>IF(results_context_via_permalink_gpt_5_2025_08_07_with_justification_run1__2[[#This Row],[they_type]]=results_context_via_permalink_gpt_5_2025_08_07_with_justification_run1__2[[#This Row],[LLM_annotation]],"X","")</f>
        <v>X</v>
      </c>
      <c r="T160" s="1" t="s">
        <v>25</v>
      </c>
    </row>
    <row r="161" spans="1:20" x14ac:dyDescent="0.2">
      <c r="A161" s="1" t="s">
        <v>1106</v>
      </c>
      <c r="B161" s="1" t="s">
        <v>1107</v>
      </c>
      <c r="C161" s="1" t="s">
        <v>1108</v>
      </c>
      <c r="D161" s="1" t="s">
        <v>1109</v>
      </c>
      <c r="E161" s="1" t="s">
        <v>1110</v>
      </c>
      <c r="F161" s="1" t="s">
        <v>1111</v>
      </c>
      <c r="G161" s="1" t="s">
        <v>25</v>
      </c>
      <c r="H161">
        <v>16228776030</v>
      </c>
      <c r="I161" s="1" t="s">
        <v>450</v>
      </c>
      <c r="J161" s="1" t="s">
        <v>27</v>
      </c>
      <c r="K161" s="1" t="s">
        <v>131</v>
      </c>
      <c r="L161" s="1" t="s">
        <v>27</v>
      </c>
      <c r="M161" s="1" t="str">
        <f>IF(LEFT(results_context_via_permalink_gpt_5_2025_08_07_with_justification_run1__2[[#This Row],[LLM_response]],21)="CONTEXT_ACCESSED: yes","X","")</f>
        <v>X</v>
      </c>
      <c r="N161" s="1" t="s">
        <v>25</v>
      </c>
      <c r="O161" s="1" t="s">
        <v>25</v>
      </c>
      <c r="P161" s="1" t="s">
        <v>27</v>
      </c>
      <c r="Q161" s="1" t="s">
        <v>1367</v>
      </c>
      <c r="R161" s="1" t="s">
        <v>131</v>
      </c>
      <c r="S161" s="1" t="str">
        <f>IF(results_context_via_permalink_gpt_5_2025_08_07_with_justification_run1__2[[#This Row],[they_type]]=results_context_via_permalink_gpt_5_2025_08_07_with_justification_run1__2[[#This Row],[LLM_annotation]],"X","")</f>
        <v>X</v>
      </c>
      <c r="T161" s="1" t="s">
        <v>25</v>
      </c>
    </row>
    <row r="162" spans="1:20" x14ac:dyDescent="0.2">
      <c r="A162" s="1" t="s">
        <v>1113</v>
      </c>
      <c r="B162" s="1" t="s">
        <v>1114</v>
      </c>
      <c r="C162" s="1" t="s">
        <v>1115</v>
      </c>
      <c r="D162" s="1" t="s">
        <v>1116</v>
      </c>
      <c r="E162" s="1" t="s">
        <v>1117</v>
      </c>
      <c r="F162" s="1" t="s">
        <v>1118</v>
      </c>
      <c r="G162" s="1" t="s">
        <v>25</v>
      </c>
      <c r="H162">
        <v>16228798000</v>
      </c>
      <c r="I162" s="1" t="s">
        <v>427</v>
      </c>
      <c r="J162" s="1" t="s">
        <v>27</v>
      </c>
      <c r="K162" s="1" t="s">
        <v>28</v>
      </c>
      <c r="L162" s="1" t="s">
        <v>27</v>
      </c>
      <c r="M162" s="1" t="str">
        <f>IF(LEFT(results_context_via_permalink_gpt_5_2025_08_07_with_justification_run1__2[[#This Row],[LLM_response]],21)="CONTEXT_ACCESSED: yes","X","")</f>
        <v>X</v>
      </c>
      <c r="N162" s="1" t="s">
        <v>25</v>
      </c>
      <c r="O162" s="1" t="s">
        <v>25</v>
      </c>
      <c r="P162" s="1" t="s">
        <v>27</v>
      </c>
      <c r="Q162" s="1" t="s">
        <v>1368</v>
      </c>
      <c r="R162" s="1" t="s">
        <v>131</v>
      </c>
      <c r="S162" s="1" t="str">
        <f>IF(results_context_via_permalink_gpt_5_2025_08_07_with_justification_run1__2[[#This Row],[they_type]]=results_context_via_permalink_gpt_5_2025_08_07_with_justification_run1__2[[#This Row],[LLM_annotation]],"X","")</f>
        <v/>
      </c>
      <c r="T162" s="1" t="s">
        <v>25</v>
      </c>
    </row>
    <row r="163" spans="1:20" x14ac:dyDescent="0.2">
      <c r="A163" s="1" t="s">
        <v>1120</v>
      </c>
      <c r="B163" s="1" t="s">
        <v>1121</v>
      </c>
      <c r="C163" s="1" t="s">
        <v>1122</v>
      </c>
      <c r="D163" s="1" t="s">
        <v>1123</v>
      </c>
      <c r="E163" s="1" t="s">
        <v>1124</v>
      </c>
      <c r="F163" s="1" t="s">
        <v>1125</v>
      </c>
      <c r="G163" s="1" t="s">
        <v>25</v>
      </c>
      <c r="H163">
        <v>16228984010</v>
      </c>
      <c r="I163" s="1" t="s">
        <v>404</v>
      </c>
      <c r="J163" s="1" t="s">
        <v>27</v>
      </c>
      <c r="K163" s="1" t="s">
        <v>28</v>
      </c>
      <c r="L163" s="1" t="s">
        <v>27</v>
      </c>
      <c r="M163" s="1" t="str">
        <f>IF(LEFT(results_context_via_permalink_gpt_5_2025_08_07_with_justification_run1__2[[#This Row],[LLM_response]],21)="CONTEXT_ACCESSED: yes","X","")</f>
        <v>X</v>
      </c>
      <c r="N163" s="1" t="s">
        <v>25</v>
      </c>
      <c r="O163" s="1" t="s">
        <v>25</v>
      </c>
      <c r="P163" s="1" t="s">
        <v>25</v>
      </c>
      <c r="Q163" s="1" t="s">
        <v>1369</v>
      </c>
      <c r="R163" s="1" t="s">
        <v>28</v>
      </c>
      <c r="S163" s="1" t="str">
        <f>IF(results_context_via_permalink_gpt_5_2025_08_07_with_justification_run1__2[[#This Row],[they_type]]=results_context_via_permalink_gpt_5_2025_08_07_with_justification_run1__2[[#This Row],[LLM_annotation]],"X","")</f>
        <v>X</v>
      </c>
      <c r="T163" s="1" t="s">
        <v>25</v>
      </c>
    </row>
    <row r="164" spans="1:20" x14ac:dyDescent="0.2">
      <c r="A164" s="1" t="s">
        <v>1127</v>
      </c>
      <c r="B164" s="1" t="s">
        <v>1128</v>
      </c>
      <c r="C164" s="1" t="s">
        <v>1129</v>
      </c>
      <c r="D164" s="1" t="s">
        <v>1130</v>
      </c>
      <c r="E164" s="1" t="s">
        <v>1131</v>
      </c>
      <c r="F164" s="1" t="s">
        <v>1132</v>
      </c>
      <c r="G164" s="1" t="s">
        <v>25</v>
      </c>
      <c r="H164">
        <v>16229048230</v>
      </c>
      <c r="I164" s="1" t="s">
        <v>368</v>
      </c>
      <c r="J164" s="1" t="s">
        <v>27</v>
      </c>
      <c r="K164" s="1" t="s">
        <v>28</v>
      </c>
      <c r="L164" s="1" t="s">
        <v>25</v>
      </c>
      <c r="M164" s="1" t="str">
        <f>IF(LEFT(results_context_via_permalink_gpt_5_2025_08_07_with_justification_run1__2[[#This Row],[LLM_response]],21)="CONTEXT_ACCESSED: yes","X","")</f>
        <v>X</v>
      </c>
      <c r="N164" s="1" t="s">
        <v>25</v>
      </c>
      <c r="O164" s="1" t="s">
        <v>25</v>
      </c>
      <c r="P164" s="1" t="s">
        <v>25</v>
      </c>
      <c r="Q164" s="1" t="s">
        <v>1370</v>
      </c>
      <c r="R164" s="1" t="s">
        <v>28</v>
      </c>
      <c r="S164" s="1" t="str">
        <f>IF(results_context_via_permalink_gpt_5_2025_08_07_with_justification_run1__2[[#This Row],[they_type]]=results_context_via_permalink_gpt_5_2025_08_07_with_justification_run1__2[[#This Row],[LLM_annotation]],"X","")</f>
        <v>X</v>
      </c>
      <c r="T164" s="1" t="s">
        <v>25</v>
      </c>
    </row>
    <row r="165" spans="1:20" x14ac:dyDescent="0.2">
      <c r="A165" s="1" t="s">
        <v>1134</v>
      </c>
      <c r="B165" s="1" t="s">
        <v>421</v>
      </c>
      <c r="C165" s="1" t="s">
        <v>1135</v>
      </c>
      <c r="D165" s="1" t="s">
        <v>1136</v>
      </c>
      <c r="E165" s="1" t="s">
        <v>1137</v>
      </c>
      <c r="F165" s="1" t="s">
        <v>34</v>
      </c>
      <c r="G165" s="1" t="s">
        <v>25</v>
      </c>
      <c r="H165">
        <v>16229052850</v>
      </c>
      <c r="I165" s="1" t="s">
        <v>471</v>
      </c>
      <c r="J165" s="1" t="s">
        <v>27</v>
      </c>
      <c r="K165" s="1" t="s">
        <v>131</v>
      </c>
      <c r="L165" s="1" t="s">
        <v>25</v>
      </c>
      <c r="M165" s="1" t="str">
        <f>IF(LEFT(results_context_via_permalink_gpt_5_2025_08_07_with_justification_run1__2[[#This Row],[LLM_response]],21)="CONTEXT_ACCESSED: yes","X","")</f>
        <v>X</v>
      </c>
      <c r="N165" s="1" t="s">
        <v>25</v>
      </c>
      <c r="O165" s="1" t="s">
        <v>25</v>
      </c>
      <c r="P165" s="1" t="s">
        <v>25</v>
      </c>
      <c r="Q165" s="1" t="s">
        <v>1371</v>
      </c>
      <c r="R165" s="1" t="s">
        <v>131</v>
      </c>
      <c r="S165" s="1" t="str">
        <f>IF(results_context_via_permalink_gpt_5_2025_08_07_with_justification_run1__2[[#This Row],[they_type]]=results_context_via_permalink_gpt_5_2025_08_07_with_justification_run1__2[[#This Row],[LLM_annotation]],"X","")</f>
        <v>X</v>
      </c>
      <c r="T165" s="1" t="s">
        <v>25</v>
      </c>
    </row>
    <row r="166" spans="1:20" x14ac:dyDescent="0.2">
      <c r="A166" s="1" t="s">
        <v>1139</v>
      </c>
      <c r="B166" s="1" t="s">
        <v>1140</v>
      </c>
      <c r="C166" s="1" t="s">
        <v>1141</v>
      </c>
      <c r="D166" s="1" t="s">
        <v>1142</v>
      </c>
      <c r="E166" s="1" t="s">
        <v>1143</v>
      </c>
      <c r="F166" s="1" t="s">
        <v>1144</v>
      </c>
      <c r="G166" s="1" t="s">
        <v>1145</v>
      </c>
      <c r="H166">
        <v>16229083750</v>
      </c>
      <c r="I166" s="1" t="s">
        <v>368</v>
      </c>
      <c r="J166" s="1" t="s">
        <v>27</v>
      </c>
      <c r="K166" s="1" t="s">
        <v>131</v>
      </c>
      <c r="L166" s="1" t="s">
        <v>25</v>
      </c>
      <c r="M166" s="1" t="str">
        <f>IF(LEFT(results_context_via_permalink_gpt_5_2025_08_07_with_justification_run1__2[[#This Row],[LLM_response]],21)="CONTEXT_ACCESSED: yes","X","")</f>
        <v/>
      </c>
      <c r="N166" s="1" t="s">
        <v>25</v>
      </c>
      <c r="O166" s="1" t="s">
        <v>25</v>
      </c>
      <c r="P166" s="1" t="s">
        <v>25</v>
      </c>
      <c r="Q166" s="1" t="s">
        <v>1372</v>
      </c>
      <c r="R166" s="1" t="s">
        <v>131</v>
      </c>
      <c r="S166" s="1" t="str">
        <f>IF(results_context_via_permalink_gpt_5_2025_08_07_with_justification_run1__2[[#This Row],[they_type]]=results_context_via_permalink_gpt_5_2025_08_07_with_justification_run1__2[[#This Row],[LLM_annotation]],"X","")</f>
        <v>X</v>
      </c>
      <c r="T166" s="1" t="s">
        <v>25</v>
      </c>
    </row>
    <row r="167" spans="1:20" x14ac:dyDescent="0.2">
      <c r="A167" s="1" t="s">
        <v>1147</v>
      </c>
      <c r="B167" s="1" t="s">
        <v>1148</v>
      </c>
      <c r="C167" s="1" t="s">
        <v>1149</v>
      </c>
      <c r="D167" s="1" t="s">
        <v>1150</v>
      </c>
      <c r="E167" s="1" t="s">
        <v>1151</v>
      </c>
      <c r="F167" s="1" t="s">
        <v>1152</v>
      </c>
      <c r="G167" s="1" t="s">
        <v>25</v>
      </c>
      <c r="H167">
        <v>16229122830</v>
      </c>
      <c r="I167" s="1" t="s">
        <v>368</v>
      </c>
      <c r="J167" s="1" t="s">
        <v>27</v>
      </c>
      <c r="K167" s="1" t="s">
        <v>131</v>
      </c>
      <c r="L167" s="1" t="s">
        <v>25</v>
      </c>
      <c r="M167" s="1" t="str">
        <f>IF(LEFT(results_context_via_permalink_gpt_5_2025_08_07_with_justification_run1__2[[#This Row],[LLM_response]],21)="CONTEXT_ACCESSED: yes","X","")</f>
        <v/>
      </c>
      <c r="N167" s="1" t="s">
        <v>25</v>
      </c>
      <c r="O167" s="1" t="s">
        <v>25</v>
      </c>
      <c r="P167" s="1" t="s">
        <v>25</v>
      </c>
      <c r="Q167" s="1" t="s">
        <v>1373</v>
      </c>
      <c r="R167" s="1" t="s">
        <v>131</v>
      </c>
      <c r="S167" s="1" t="str">
        <f>IF(results_context_via_permalink_gpt_5_2025_08_07_with_justification_run1__2[[#This Row],[they_type]]=results_context_via_permalink_gpt_5_2025_08_07_with_justification_run1__2[[#This Row],[LLM_annotation]],"X","")</f>
        <v>X</v>
      </c>
      <c r="T167" s="1" t="s">
        <v>25</v>
      </c>
    </row>
    <row r="168" spans="1:20" x14ac:dyDescent="0.2">
      <c r="A168" s="1" t="s">
        <v>1154</v>
      </c>
      <c r="B168" s="1" t="s">
        <v>1155</v>
      </c>
      <c r="C168" s="1" t="s">
        <v>1156</v>
      </c>
      <c r="D168" s="1" t="s">
        <v>1157</v>
      </c>
      <c r="E168" s="1" t="s">
        <v>1158</v>
      </c>
      <c r="F168" s="1" t="s">
        <v>1159</v>
      </c>
      <c r="G168" s="1" t="s">
        <v>25</v>
      </c>
      <c r="H168">
        <v>16229204750</v>
      </c>
      <c r="I168" s="1" t="s">
        <v>450</v>
      </c>
      <c r="J168" s="1" t="s">
        <v>27</v>
      </c>
      <c r="K168" s="1" t="s">
        <v>131</v>
      </c>
      <c r="L168" s="1" t="s">
        <v>25</v>
      </c>
      <c r="M168" s="1" t="str">
        <f>IF(LEFT(results_context_via_permalink_gpt_5_2025_08_07_with_justification_run1__2[[#This Row],[LLM_response]],21)="CONTEXT_ACCESSED: yes","X","")</f>
        <v>X</v>
      </c>
      <c r="N168" s="1" t="s">
        <v>25</v>
      </c>
      <c r="O168" s="1" t="s">
        <v>25</v>
      </c>
      <c r="P168" s="1" t="s">
        <v>27</v>
      </c>
      <c r="Q168" s="1" t="s">
        <v>1374</v>
      </c>
      <c r="R168" s="1" t="s">
        <v>131</v>
      </c>
      <c r="S168" s="1" t="str">
        <f>IF(results_context_via_permalink_gpt_5_2025_08_07_with_justification_run1__2[[#This Row],[they_type]]=results_context_via_permalink_gpt_5_2025_08_07_with_justification_run1__2[[#This Row],[LLM_annotation]],"X","")</f>
        <v>X</v>
      </c>
      <c r="T168" s="1" t="s">
        <v>25</v>
      </c>
    </row>
    <row r="169" spans="1:20" x14ac:dyDescent="0.2">
      <c r="A169" s="1" t="s">
        <v>1161</v>
      </c>
      <c r="B169" s="1" t="s">
        <v>1162</v>
      </c>
      <c r="C169" s="1" t="s">
        <v>1163</v>
      </c>
      <c r="D169" s="1" t="s">
        <v>1164</v>
      </c>
      <c r="E169" s="1" t="s">
        <v>1165</v>
      </c>
      <c r="F169" s="1" t="s">
        <v>1166</v>
      </c>
      <c r="G169" s="1" t="s">
        <v>25</v>
      </c>
      <c r="H169">
        <v>16229232390</v>
      </c>
      <c r="I169" s="1" t="s">
        <v>368</v>
      </c>
      <c r="J169" s="1" t="s">
        <v>27</v>
      </c>
      <c r="K169" s="1" t="s">
        <v>36</v>
      </c>
      <c r="L169" s="1" t="s">
        <v>25</v>
      </c>
      <c r="M169" s="1" t="str">
        <f>IF(LEFT(results_context_via_permalink_gpt_5_2025_08_07_with_justification_run1__2[[#This Row],[LLM_response]],21)="CONTEXT_ACCESSED: yes","X","")</f>
        <v/>
      </c>
      <c r="N169" s="1" t="s">
        <v>25</v>
      </c>
      <c r="O169" s="1" t="s">
        <v>25</v>
      </c>
      <c r="P169" s="1" t="s">
        <v>25</v>
      </c>
      <c r="Q169" s="1" t="s">
        <v>1375</v>
      </c>
      <c r="R169" s="1" t="s">
        <v>36</v>
      </c>
      <c r="S169" s="1" t="str">
        <f>IF(results_context_via_permalink_gpt_5_2025_08_07_with_justification_run1__2[[#This Row],[they_type]]=results_context_via_permalink_gpt_5_2025_08_07_with_justification_run1__2[[#This Row],[LLM_annotation]],"X","")</f>
        <v>X</v>
      </c>
      <c r="T169" s="1" t="s">
        <v>25</v>
      </c>
    </row>
    <row r="170" spans="1:20" x14ac:dyDescent="0.2">
      <c r="A170" s="1" t="s">
        <v>1168</v>
      </c>
      <c r="B170" s="1" t="s">
        <v>1169</v>
      </c>
      <c r="C170" s="1" t="s">
        <v>1170</v>
      </c>
      <c r="D170" s="1" t="s">
        <v>1171</v>
      </c>
      <c r="E170" s="1" t="s">
        <v>1172</v>
      </c>
      <c r="F170" s="1" t="s">
        <v>1173</v>
      </c>
      <c r="G170" s="1" t="s">
        <v>25</v>
      </c>
      <c r="H170">
        <v>16229246300</v>
      </c>
      <c r="I170" s="1" t="s">
        <v>450</v>
      </c>
      <c r="J170" s="1" t="s">
        <v>27</v>
      </c>
      <c r="K170" s="1" t="s">
        <v>131</v>
      </c>
      <c r="L170" s="1" t="s">
        <v>27</v>
      </c>
      <c r="M170" s="1" t="str">
        <f>IF(LEFT(results_context_via_permalink_gpt_5_2025_08_07_with_justification_run1__2[[#This Row],[LLM_response]],21)="CONTEXT_ACCESSED: yes","X","")</f>
        <v>X</v>
      </c>
      <c r="N170" s="1" t="s">
        <v>25</v>
      </c>
      <c r="O170" s="1" t="s">
        <v>25</v>
      </c>
      <c r="P170" s="1" t="s">
        <v>27</v>
      </c>
      <c r="Q170" s="1" t="s">
        <v>1376</v>
      </c>
      <c r="R170" s="1" t="s">
        <v>131</v>
      </c>
      <c r="S170" s="1" t="str">
        <f>IF(results_context_via_permalink_gpt_5_2025_08_07_with_justification_run1__2[[#This Row],[they_type]]=results_context_via_permalink_gpt_5_2025_08_07_with_justification_run1__2[[#This Row],[LLM_annotation]],"X","")</f>
        <v>X</v>
      </c>
      <c r="T170" s="1" t="s">
        <v>25</v>
      </c>
    </row>
    <row r="171" spans="1:20" x14ac:dyDescent="0.2">
      <c r="A171" s="1" t="s">
        <v>1175</v>
      </c>
      <c r="B171" s="1" t="s">
        <v>1176</v>
      </c>
      <c r="C171" s="1" t="s">
        <v>1177</v>
      </c>
      <c r="D171" s="1" t="s">
        <v>1178</v>
      </c>
      <c r="E171" s="1" t="s">
        <v>1179</v>
      </c>
      <c r="F171" s="1" t="s">
        <v>1180</v>
      </c>
      <c r="G171" s="1" t="s">
        <v>25</v>
      </c>
      <c r="H171">
        <v>16229269110</v>
      </c>
      <c r="I171" s="1" t="s">
        <v>404</v>
      </c>
      <c r="J171" s="1" t="s">
        <v>27</v>
      </c>
      <c r="K171" s="1" t="s">
        <v>131</v>
      </c>
      <c r="L171" s="1" t="s">
        <v>25</v>
      </c>
      <c r="M171" s="1" t="str">
        <f>IF(LEFT(results_context_via_permalink_gpt_5_2025_08_07_with_justification_run1__2[[#This Row],[LLM_response]],21)="CONTEXT_ACCESSED: yes","X","")</f>
        <v>X</v>
      </c>
      <c r="N171" s="1" t="s">
        <v>25</v>
      </c>
      <c r="O171" s="1" t="s">
        <v>25</v>
      </c>
      <c r="P171" s="1" t="s">
        <v>25</v>
      </c>
      <c r="Q171" s="1" t="s">
        <v>1377</v>
      </c>
      <c r="R171" s="1" t="s">
        <v>131</v>
      </c>
      <c r="S171" s="1" t="str">
        <f>IF(results_context_via_permalink_gpt_5_2025_08_07_with_justification_run1__2[[#This Row],[they_type]]=results_context_via_permalink_gpt_5_2025_08_07_with_justification_run1__2[[#This Row],[LLM_annotation]],"X","")</f>
        <v>X</v>
      </c>
      <c r="T171" s="1" t="s">
        <v>25</v>
      </c>
    </row>
    <row r="172" spans="1:20" x14ac:dyDescent="0.2">
      <c r="A172" s="1" t="s">
        <v>1182</v>
      </c>
      <c r="B172" s="1" t="s">
        <v>1183</v>
      </c>
      <c r="C172" s="1" t="s">
        <v>1184</v>
      </c>
      <c r="D172" s="1" t="s">
        <v>1185</v>
      </c>
      <c r="E172" s="1" t="s">
        <v>1186</v>
      </c>
      <c r="F172" s="1" t="s">
        <v>1187</v>
      </c>
      <c r="G172" s="1" t="s">
        <v>25</v>
      </c>
      <c r="H172">
        <v>16229336790</v>
      </c>
      <c r="I172" s="1" t="s">
        <v>450</v>
      </c>
      <c r="J172" s="1" t="s">
        <v>27</v>
      </c>
      <c r="K172" s="1" t="s">
        <v>131</v>
      </c>
      <c r="L172" s="1" t="s">
        <v>25</v>
      </c>
      <c r="M172" s="1" t="str">
        <f>IF(LEFT(results_context_via_permalink_gpt_5_2025_08_07_with_justification_run1__2[[#This Row],[LLM_response]],21)="CONTEXT_ACCESSED: yes","X","")</f>
        <v/>
      </c>
      <c r="N172" s="1" t="s">
        <v>25</v>
      </c>
      <c r="O172" s="1" t="s">
        <v>25</v>
      </c>
      <c r="P172" s="1" t="s">
        <v>27</v>
      </c>
      <c r="Q172" s="1" t="s">
        <v>1378</v>
      </c>
      <c r="R172" s="1" t="s">
        <v>131</v>
      </c>
      <c r="S172" s="1" t="str">
        <f>IF(results_context_via_permalink_gpt_5_2025_08_07_with_justification_run1__2[[#This Row],[they_type]]=results_context_via_permalink_gpt_5_2025_08_07_with_justification_run1__2[[#This Row],[LLM_annotation]],"X","")</f>
        <v>X</v>
      </c>
      <c r="T172" s="1" t="s">
        <v>25</v>
      </c>
    </row>
    <row r="173" spans="1:20" x14ac:dyDescent="0.2">
      <c r="A173" s="1" t="s">
        <v>1189</v>
      </c>
      <c r="B173" s="1" t="s">
        <v>1190</v>
      </c>
      <c r="C173" s="1" t="s">
        <v>1191</v>
      </c>
      <c r="D173" s="1" t="s">
        <v>1192</v>
      </c>
      <c r="E173" s="1" t="s">
        <v>410</v>
      </c>
      <c r="F173" s="1" t="s">
        <v>1193</v>
      </c>
      <c r="G173" s="1" t="s">
        <v>25</v>
      </c>
      <c r="H173">
        <v>16229358920</v>
      </c>
      <c r="I173" s="1" t="s">
        <v>450</v>
      </c>
      <c r="J173" s="1" t="s">
        <v>27</v>
      </c>
      <c r="K173" s="1" t="s">
        <v>36</v>
      </c>
      <c r="L173" s="1" t="s">
        <v>27</v>
      </c>
      <c r="M173" s="1" t="str">
        <f>IF(LEFT(results_context_via_permalink_gpt_5_2025_08_07_with_justification_run1__2[[#This Row],[LLM_response]],21)="CONTEXT_ACCESSED: yes","X","")</f>
        <v>X</v>
      </c>
      <c r="N173" s="1" t="s">
        <v>25</v>
      </c>
      <c r="O173" s="1" t="s">
        <v>25</v>
      </c>
      <c r="P173" s="1" t="s">
        <v>27</v>
      </c>
      <c r="Q173" s="1" t="s">
        <v>1379</v>
      </c>
      <c r="R173" s="1" t="s">
        <v>36</v>
      </c>
      <c r="S173" s="1" t="str">
        <f>IF(results_context_via_permalink_gpt_5_2025_08_07_with_justification_run1__2[[#This Row],[they_type]]=results_context_via_permalink_gpt_5_2025_08_07_with_justification_run1__2[[#This Row],[LLM_annotation]],"X","")</f>
        <v>X</v>
      </c>
      <c r="T173" s="1" t="s">
        <v>25</v>
      </c>
    </row>
    <row r="174" spans="1:20" x14ac:dyDescent="0.2">
      <c r="A174" s="1" t="s">
        <v>1195</v>
      </c>
      <c r="B174" s="1" t="s">
        <v>1196</v>
      </c>
      <c r="C174" s="1" t="s">
        <v>1197</v>
      </c>
      <c r="D174" s="1" t="s">
        <v>1198</v>
      </c>
      <c r="E174" s="1" t="s">
        <v>965</v>
      </c>
      <c r="F174" s="1" t="s">
        <v>1199</v>
      </c>
      <c r="G174" s="1" t="s">
        <v>25</v>
      </c>
      <c r="H174">
        <v>16229424630</v>
      </c>
      <c r="I174" s="1" t="s">
        <v>404</v>
      </c>
      <c r="J174" s="1" t="s">
        <v>27</v>
      </c>
      <c r="K174" s="1" t="s">
        <v>131</v>
      </c>
      <c r="L174" s="1" t="s">
        <v>25</v>
      </c>
      <c r="M174" s="1" t="str">
        <f>IF(LEFT(results_context_via_permalink_gpt_5_2025_08_07_with_justification_run1__2[[#This Row],[LLM_response]],21)="CONTEXT_ACCESSED: yes","X","")</f>
        <v/>
      </c>
      <c r="N174" s="1" t="s">
        <v>25</v>
      </c>
      <c r="O174" s="1" t="s">
        <v>25</v>
      </c>
      <c r="P174" s="1" t="s">
        <v>25</v>
      </c>
      <c r="Q174" s="1" t="s">
        <v>1380</v>
      </c>
      <c r="R174" s="1" t="s">
        <v>131</v>
      </c>
      <c r="S174" s="1" t="str">
        <f>IF(results_context_via_permalink_gpt_5_2025_08_07_with_justification_run1__2[[#This Row],[they_type]]=results_context_via_permalink_gpt_5_2025_08_07_with_justification_run1__2[[#This Row],[LLM_annotation]],"X","")</f>
        <v>X</v>
      </c>
      <c r="T174" s="1" t="s">
        <v>25</v>
      </c>
    </row>
    <row r="175" spans="1:20" x14ac:dyDescent="0.2">
      <c r="A175" s="1" t="s">
        <v>1201</v>
      </c>
      <c r="B175" s="1" t="s">
        <v>1202</v>
      </c>
      <c r="C175" s="1" t="s">
        <v>1203</v>
      </c>
      <c r="D175" s="1" t="s">
        <v>1204</v>
      </c>
      <c r="E175" s="1" t="s">
        <v>555</v>
      </c>
      <c r="F175" s="1" t="s">
        <v>1205</v>
      </c>
      <c r="G175" s="1" t="s">
        <v>25</v>
      </c>
      <c r="H175">
        <v>16229665670</v>
      </c>
      <c r="I175" s="1" t="s">
        <v>391</v>
      </c>
      <c r="J175" s="1" t="s">
        <v>27</v>
      </c>
      <c r="K175" s="1" t="s">
        <v>28</v>
      </c>
      <c r="L175" s="1" t="s">
        <v>25</v>
      </c>
      <c r="M175" s="1" t="str">
        <f>IF(LEFT(results_context_via_permalink_gpt_5_2025_08_07_with_justification_run1__2[[#This Row],[LLM_response]],21)="CONTEXT_ACCESSED: yes","X","")</f>
        <v/>
      </c>
      <c r="N175" s="1" t="s">
        <v>25</v>
      </c>
      <c r="O175" s="1" t="s">
        <v>25</v>
      </c>
      <c r="P175" s="1" t="s">
        <v>25</v>
      </c>
      <c r="Q175" s="1" t="s">
        <v>1381</v>
      </c>
      <c r="R175" s="1" t="s">
        <v>28</v>
      </c>
      <c r="S175" s="1" t="str">
        <f>IF(results_context_via_permalink_gpt_5_2025_08_07_with_justification_run1__2[[#This Row],[they_type]]=results_context_via_permalink_gpt_5_2025_08_07_with_justification_run1__2[[#This Row],[LLM_annotation]],"X","")</f>
        <v>X</v>
      </c>
      <c r="T175" s="1" t="s">
        <v>25</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7045CD0-4BE2-0744-840E-E5B57C02E2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conservative_prompt</vt:lpstr>
      <vt:lpstr>unspecified_prompt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Kilian Hartmann</dc:creator>
  <cp:lastModifiedBy>Carlos Kilian Hartmann</cp:lastModifiedBy>
  <dcterms:created xsi:type="dcterms:W3CDTF">2026-06-02T10:26:56Z</dcterms:created>
  <dcterms:modified xsi:type="dcterms:W3CDTF">2026-06-03T13:03:03Z</dcterms:modified>
</cp:coreProperties>
</file>